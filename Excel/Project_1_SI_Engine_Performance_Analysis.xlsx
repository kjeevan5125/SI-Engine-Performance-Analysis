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1 Project Overview" sheetId="1" state="visible" r:id="rId3"/>
    <sheet name="Engine Specifications" sheetId="2" state="visible" r:id="rId4"/>
    <sheet name="Input Data" sheetId="3" state="visible" r:id="rId5"/>
    <sheet name="Calculations" sheetId="4" state="visible" r:id="rId6"/>
    <sheet name="Performance Results" sheetId="5" state="visible" r:id="rId7"/>
    <sheet name="06 Dashboard" sheetId="6" state="visible" r:id="rId8"/>
    <sheet name="Graphs" sheetId="7" state="visible" r:id="rId9"/>
    <sheet name="Error &amp; Uncertainty" sheetId="8" state="visible" r:id="rId10"/>
    <sheet name="07 Error Analysis" sheetId="9" state="visible" r:id="rId11"/>
    <sheet name="08 Methodology" sheetId="10" state="visible" r:id="rId12"/>
    <sheet name="09 Engineering Check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<sst xmlns="http://schemas.openxmlformats.org/spreadsheetml/2006/main" count="220" uniqueCount="165">
  <si>
    <t xml:space="preserve">SI Engine Performance Analysis</t>
  </si>
  <si>
    <t xml:space="preserve">Project title</t>
  </si>
  <si>
    <t xml:space="preserve">Performance Analysis of a SI Engine under Different Operating Conditions</t>
  </si>
  <si>
    <t xml:space="preserve">Project type</t>
  </si>
  <si>
    <t xml:space="preserve">Modeled engineering study</t>
  </si>
  <si>
    <t xml:space="preserve">Objective</t>
  </si>
  <si>
    <t xml:space="preserve">Evaluate SI-engine performance over 1500–5000 rpm using standard engine-performance equations.</t>
  </si>
  <si>
    <t xml:space="preserve">Engine configuration</t>
  </si>
  <si>
    <t xml:space="preserve">Key performance results</t>
  </si>
  <si>
    <t xml:space="preserve">Type</t>
  </si>
  <si>
    <t xml:space="preserve">4-stroke, naturally aspirated SI</t>
  </si>
  <si>
    <t xml:space="preserve">Maximum torque</t>
  </si>
  <si>
    <t xml:space="preserve">Cylinders</t>
  </si>
  <si>
    <t xml:space="preserve">Maximum brake power</t>
  </si>
  <si>
    <t xml:space="preserve">Displacement</t>
  </si>
  <si>
    <t xml:space="preserve">Minimum BSFC</t>
  </si>
  <si>
    <t xml:space="preserve">Bore × Stroke</t>
  </si>
  <si>
    <t xml:space="preserve">Maximum BTE</t>
  </si>
  <si>
    <t xml:space="preserve">Compression ratio</t>
  </si>
  <si>
    <t xml:space="preserve">Maximum volumetric efficiency</t>
  </si>
  <si>
    <t xml:space="preserve">Fuel</t>
  </si>
  <si>
    <t xml:space="preserve">Calorific value</t>
  </si>
  <si>
    <t xml:space="preserve">Analysis workflow</t>
  </si>
  <si>
    <t xml:space="preserve">1. Define engine geometry and operating assumptions.</t>
  </si>
  <si>
    <t xml:space="preserve">2. Provide representative operating inputs: RPM, torque, BSFC and AFR.</t>
  </si>
  <si>
    <t xml:space="preserve">3. Calculate brake power, fuel flow, air flow, BTE and volumetric efficiency.</t>
  </si>
  <si>
    <t xml:space="preserve">4. Plot performance characteristics and identify peak/minimum operating points.</t>
  </si>
  <si>
    <t xml:space="preserve">5. Check consistency and document representative uncertainty assumptions.</t>
  </si>
  <si>
    <t xml:space="preserve">Data-use statement</t>
  </si>
  <si>
    <t xml:space="preserve">The numerical operating dataset in this workbook is representative/modelled data for portfolio analysis. It must not be presented as physical dynamometer measurements unless an actual experiment is performed.</t>
  </si>
  <si>
    <t xml:space="preserve">Parameter</t>
  </si>
  <si>
    <t xml:space="preserve">Value</t>
  </si>
  <si>
    <t xml:space="preserve">Unit</t>
  </si>
  <si>
    <t xml:space="preserve">Engine type</t>
  </si>
  <si>
    <t xml:space="preserve">4-Stroke SI</t>
  </si>
  <si>
    <t xml:space="preserve">-</t>
  </si>
  <si>
    <t xml:space="preserve">Number of cylinders</t>
  </si>
  <si>
    <t xml:space="preserve">Bore</t>
  </si>
  <si>
    <t xml:space="preserve">mm</t>
  </si>
  <si>
    <t xml:space="preserve">Stroke</t>
  </si>
  <si>
    <t xml:space="preserve">L</t>
  </si>
  <si>
    <t xml:space="preserve">m³</t>
  </si>
  <si>
    <t xml:space="preserve">Petrol</t>
  </si>
  <si>
    <t xml:space="preserve">MJ/kg</t>
  </si>
  <si>
    <t xml:space="preserve">Ambient temperature</t>
  </si>
  <si>
    <t xml:space="preserve">°C</t>
  </si>
  <si>
    <t xml:space="preserve">Ambient pressure</t>
  </si>
  <si>
    <t xml:space="preserve">kPa</t>
  </si>
  <si>
    <t xml:space="preserve">Air density</t>
  </si>
  <si>
    <t xml:space="preserve">kg/m³</t>
  </si>
  <si>
    <t xml:space="preserve">Displacement verification</t>
  </si>
  <si>
    <t xml:space="preserve">Formula</t>
  </si>
  <si>
    <t xml:space="preserve">π/4 × Bore² × Stroke × Cylinders</t>
  </si>
  <si>
    <t xml:space="preserve">Calculated displacement (m³)</t>
  </si>
  <si>
    <t xml:space="preserve">Calculated displacement (L)</t>
  </si>
  <si>
    <t xml:space="preserve">Engineering note</t>
  </si>
  <si>
    <t xml:space="preserve">The displacement shown above is verified from bore, stroke and cylinder count. Small differences may occur from display rounding.</t>
  </si>
  <si>
    <t xml:space="preserve">Modeled Operating Inputs</t>
  </si>
  <si>
    <t xml:space="preserve">Representative modeled operating inputs</t>
  </si>
  <si>
    <t xml:space="preserve">RPM</t>
  </si>
  <si>
    <t xml:space="preserve">Torque (N·m)</t>
  </si>
  <si>
    <t xml:space="preserve">BSFC (g/kWh)</t>
  </si>
  <si>
    <t xml:space="preserve">AFR</t>
  </si>
  <si>
    <t xml:space="preserve">Note</t>
  </si>
  <si>
    <t xml:space="preserve">These are modeled inputs for an engineering analysis, not claimed physical measurements.</t>
  </si>
  <si>
    <t xml:space="preserve">Input-definition note</t>
  </si>
  <si>
    <t xml:space="preserve">RPM and torque define brake power; BSFC defines fuel flow; AFR defines air flow.</t>
  </si>
  <si>
    <t xml:space="preserve">Engine Performance Calculations</t>
  </si>
  <si>
    <t xml:space="preserve">Brake Power (kW)</t>
  </si>
  <si>
    <t xml:space="preserve">Fuel Flow (kg/h)</t>
  </si>
  <si>
    <t xml:space="preserve">Air Flow (kg/h)</t>
  </si>
  <si>
    <t xml:space="preserve">BTE (%)</t>
  </si>
  <si>
    <t xml:space="preserve">Volumetric Efficiency (%)</t>
  </si>
  <si>
    <t xml:space="preserve">Formula notes</t>
  </si>
  <si>
    <t xml:space="preserve">Brake Power = 2πNT/60000</t>
  </si>
  <si>
    <t xml:space="preserve">Fuel Flow = Brake Power × BSFC / 1000</t>
  </si>
  <si>
    <t xml:space="preserve">Air Flow = Fuel Flow × AFR</t>
  </si>
  <si>
    <t xml:space="preserve">BTE = Brake Power / (Fuel Flow/3.6 × Calorific Value) × 100</t>
  </si>
  <si>
    <t xml:space="preserve">Volumetric Efficiency = (Air Flow/3600) / (ρ × Vd × RPM/(2×60)) × 100</t>
  </si>
  <si>
    <t xml:space="preserve">Performance Summary</t>
  </si>
  <si>
    <t xml:space="preserve">Key results extracted automatically from the calculation sheet.</t>
  </si>
  <si>
    <t xml:space="preserve">Best / Peak Value</t>
  </si>
  <si>
    <t xml:space="preserve">Operating Point</t>
  </si>
  <si>
    <t xml:space="preserve">Maximum Torque (N·m)</t>
  </si>
  <si>
    <t xml:space="preserve">Maximum Brake Power (kW)</t>
  </si>
  <si>
    <t xml:space="preserve">Minimum BSFC (g/kWh)</t>
  </si>
  <si>
    <t xml:space="preserve">Maximum BTE (%)</t>
  </si>
  <si>
    <t xml:space="preserve">Maximum Volumetric Efficiency (%)</t>
  </si>
  <si>
    <t xml:space="preserve">Engineering observations</t>
  </si>
  <si>
    <t xml:space="preserve">• Torque peaks near the mid-speed region and declines at higher speed.</t>
  </si>
  <si>
    <t xml:space="preserve">• Brake power rises across the tested range because power depends on both torque and angular speed.</t>
  </si>
  <si>
    <t xml:space="preserve">• BSFC reaches its minimum around the mid-speed operating region.</t>
  </si>
  <si>
    <t xml:space="preserve">• Brake thermal efficiency follows the inverse trend of BSFC because lower fuel use per unit brake work indicates better fuel-energy utilization.</t>
  </si>
  <si>
    <t xml:space="preserve">• Volumetric efficiency improves initially and then levels off/slightly declines at high speed.</t>
  </si>
  <si>
    <t xml:space="preserve">SI Engine Performance Dashboard</t>
  </si>
  <si>
    <t xml:space="preserve">Engine</t>
  </si>
  <si>
    <t xml:space="preserve">4-cylinder, 4-stroke, naturally aspirated SI</t>
  </si>
  <si>
    <t xml:space="preserve">Operating range</t>
  </si>
  <si>
    <t xml:space="preserve">rpm</t>
  </si>
  <si>
    <t xml:space="preserve">Peak Torque</t>
  </si>
  <si>
    <t xml:space="preserve">Peak Brake Power</t>
  </si>
  <si>
    <t xml:space="preserve">N·m</t>
  </si>
  <si>
    <t xml:space="preserve">kW</t>
  </si>
  <si>
    <t xml:space="preserve">g/kWh</t>
  </si>
  <si>
    <t xml:space="preserve">%</t>
  </si>
  <si>
    <t xml:space="preserve">Engine Performance Curves</t>
  </si>
  <si>
    <t xml:space="preserve">Measurement Resolution / Uncertainty Framework</t>
  </si>
  <si>
    <t xml:space="preserve">Measurement</t>
  </si>
  <si>
    <t xml:space="preserve">Representative resolution</t>
  </si>
  <si>
    <t xml:space="preserve">Assumed uncertainty</t>
  </si>
  <si>
    <t xml:space="preserve">Engine speed</t>
  </si>
  <si>
    <t xml:space="preserve">Torque</t>
  </si>
  <si>
    <t xml:space="preserve">Fuel flow</t>
  </si>
  <si>
    <t xml:space="preserve">kg/h</t>
  </si>
  <si>
    <t xml:space="preserve">Air flow</t>
  </si>
  <si>
    <t xml:space="preserve">Uncertainty values are representative assumptions for the modeled study. They should be replaced by actual instrument specifications if a physical test is performed.</t>
  </si>
  <si>
    <t xml:space="preserve">Error &amp; Uncertainty Analysis</t>
  </si>
  <si>
    <t xml:space="preserve">Impact on analysis</t>
  </si>
  <si>
    <t xml:space="preserve">Affects brake power and volumetric-efficiency calculations.</t>
  </si>
  <si>
    <t xml:space="preserve">Directly affects brake power.</t>
  </si>
  <si>
    <t xml:space="preserve">Affects BSFC and brake thermal efficiency.</t>
  </si>
  <si>
    <t xml:space="preserve">Affects AFR/volumetric-efficiency assessment.</t>
  </si>
  <si>
    <t xml:space="preserve">Influences air-density estimation.</t>
  </si>
  <si>
    <t xml:space="preserve">Uncertainty note</t>
  </si>
  <si>
    <t xml:space="preserve">These values are representative assumptions for a modeled study. For a physical test, use the calibration certificates/specifications of the actual tachometer, load cell, flow meters and environmental sensors.</t>
  </si>
  <si>
    <t xml:space="preserve">Test-Bed Methodology &amp; Instrumentation</t>
  </si>
  <si>
    <t xml:space="preserve">Modeled test-bed representation</t>
  </si>
  <si>
    <t xml:space="preserve">• Engine → dynamometer → controlled load application.</t>
  </si>
  <si>
    <t xml:space="preserve">• Set the target engine speed and allow the operating point to stabilize.</t>
  </si>
  <si>
    <t xml:space="preserve">• Record torque/load, engine speed, fuel consumption and air flow.</t>
  </si>
  <si>
    <t xml:space="preserve">• Use standard equations to calculate brake power, BSFC, BTE, AFR and volumetric efficiency.</t>
  </si>
  <si>
    <t xml:space="preserve">• Repeat for each speed point from 1500 to 5000 rpm.</t>
  </si>
  <si>
    <t xml:space="preserve">• Compare trends and identify the most efficient operating region.</t>
  </si>
  <si>
    <t xml:space="preserve">Representative instrumentation</t>
  </si>
  <si>
    <t xml:space="preserve">Digital tachometer / speed sensor</t>
  </si>
  <si>
    <t xml:space="preserve">Dynamometer load cell / torque measurement</t>
  </si>
  <si>
    <t xml:space="preserve">Fuel consumption</t>
  </si>
  <si>
    <t xml:space="preserve">Fuel-flow measurement system</t>
  </si>
  <si>
    <t xml:space="preserve">Air-flow meter</t>
  </si>
  <si>
    <t xml:space="preserve">Temperature</t>
  </si>
  <si>
    <t xml:space="preserve">Ambient temperature sensor</t>
  </si>
  <si>
    <t xml:space="preserve">Pressure</t>
  </si>
  <si>
    <t xml:space="preserve">Ambient pressure sensor</t>
  </si>
  <si>
    <t xml:space="preserve">Important scope statement</t>
  </si>
  <si>
    <t xml:space="preserve">This workbook models the analysis workflow; it does not claim that the listed measurements were physically recorded on a laboratory dynamometer.</t>
  </si>
  <si>
    <t xml:space="preserve">Engineering Consistency Checks</t>
  </si>
  <si>
    <t xml:space="preserve">Check</t>
  </si>
  <si>
    <t xml:space="preserve">Calculated / status</t>
  </si>
  <si>
    <t xml:space="preserve">Expected condition</t>
  </si>
  <si>
    <t xml:space="preserve">Result</t>
  </si>
  <si>
    <t xml:space="preserve">Comment</t>
  </si>
  <si>
    <t xml:space="preserve">0.0018 m³ approximately</t>
  </si>
  <si>
    <t xml:space="preserve">Geometry-based displacement.</t>
  </si>
  <si>
    <t xml:space="preserve">Positive and within model range</t>
  </si>
  <si>
    <t xml:space="preserve">Peak occurs near mid-speed.</t>
  </si>
  <si>
    <t xml:space="preserve">Positive</t>
  </si>
  <si>
    <t xml:space="preserve">Power must be positive.</t>
  </si>
  <si>
    <t xml:space="preserve">Lower BSFC indicates better fuel economy.</t>
  </si>
  <si>
    <t xml:space="preserve">BTE range</t>
  </si>
  <si>
    <t xml:space="preserve">0 &lt; BTE &lt; 100%</t>
  </si>
  <si>
    <t xml:space="preserve">Reject impossible efficiency values.</t>
  </si>
  <si>
    <t xml:space="preserve">Volumetric efficiency</t>
  </si>
  <si>
    <t xml:space="preserve">0 &lt; ηv &lt; 100%</t>
  </si>
  <si>
    <t xml:space="preserve">Model remains within a plausible range.</t>
  </si>
  <si>
    <t xml:space="preserve">Representative petrol mixture range.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</si>
</sst>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b val="true"/>
      <sz val="16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D9EAF7"/>
      </patternFill>
    </fill>
    <fill>
      <patternFill patternType="solid">
        <fgColor rgb="FFFCE4D6"/>
        <bgColor rgb="FFE2F0D9"/>
      </patternFill>
    </fill>
    <fill>
      <patternFill patternType="solid">
        <fgColor rgb="FFD9EAF7"/>
        <bgColor rgb="FFE2F0D9"/>
      </patternFill>
    </fill>
    <fill>
      <patternFill patternType="solid">
        <fgColor rgb="FFEEF5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F0D9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EEF5FB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Torque vs Engine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Calculations!B3</c:f>
              <c:strCache>
                <c:ptCount val="1"/>
                <c:pt idx="0">
                  <c:v>Torque (N·m)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Calculations!$A$4:$A$11</c:f>
              <c:strCache>
                <c:ptCount val="8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</c:strCache>
            </c:strRef>
          </c:cat>
          <c:val>
            <c:numRef>
              <c:f>Calculations!$B$4:$B$11</c:f>
              <c:numCache>
                <c:formatCode>General</c:formatCode>
                <c:ptCount val="8"/>
                <c:pt idx="0">
                  <c:v>65</c:v>
                </c:pt>
                <c:pt idx="1">
                  <c:v>82</c:v>
                </c:pt>
                <c:pt idx="2">
                  <c:v>92</c:v>
                </c:pt>
                <c:pt idx="3">
                  <c:v>98</c:v>
                </c:pt>
                <c:pt idx="4">
                  <c:v>100</c:v>
                </c:pt>
                <c:pt idx="5">
                  <c:v>98</c:v>
                </c:pt>
                <c:pt idx="6">
                  <c:v>94</c:v>
                </c:pt>
                <c:pt idx="7">
                  <c:v>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614351"/>
        <c:axId val="38374331"/>
      </c:lineChart>
      <c:catAx>
        <c:axId val="776143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Engine Speed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374331"/>
        <c:crosses val="autoZero"/>
        <c:auto val="1"/>
        <c:lblAlgn val="ctr"/>
        <c:lblOffset val="100"/>
        <c:noMultiLvlLbl val="0"/>
      </c:catAx>
      <c:valAx>
        <c:axId val="38374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Torque (N·m)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6143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Brake Power vs Engine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Calculations!C3</c:f>
              <c:strCache>
                <c:ptCount val="1"/>
                <c:pt idx="0">
                  <c:v>Brake Power (kW)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Calculations!$A$4:$A$11</c:f>
              <c:strCache>
                <c:ptCount val="8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</c:strCache>
            </c:strRef>
          </c:cat>
          <c:val>
            <c:numRef>
              <c:f>Calculations!$C$4:$C$11</c:f>
              <c:numCache>
                <c:formatCode>0.00</c:formatCode>
                <c:ptCount val="8"/>
                <c:pt idx="0">
                  <c:v>10.2101761241668</c:v>
                </c:pt>
                <c:pt idx="1">
                  <c:v>17.1740398396242</c:v>
                </c:pt>
                <c:pt idx="2">
                  <c:v>24.0855436775218</c:v>
                </c:pt>
                <c:pt idx="3">
                  <c:v>30.78760800518</c:v>
                </c:pt>
                <c:pt idx="4">
                  <c:v>36.6519142918809</c:v>
                </c:pt>
                <c:pt idx="5">
                  <c:v>41.0501440069066</c:v>
                </c:pt>
                <c:pt idx="6">
                  <c:v>44.2964564156161</c:v>
                </c:pt>
                <c:pt idx="7">
                  <c:v>46.0766922526503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557564"/>
        <c:axId val="30076523"/>
      </c:lineChart>
      <c:catAx>
        <c:axId val="105575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Engine Speed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076523"/>
        <c:crosses val="autoZero"/>
        <c:auto val="1"/>
        <c:lblAlgn val="ctr"/>
        <c:lblOffset val="100"/>
        <c:noMultiLvlLbl val="0"/>
      </c:catAx>
      <c:valAx>
        <c:axId val="30076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Brake Power (kW)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5575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BSFC vs Engine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Calculations!D3</c:f>
              <c:strCache>
                <c:ptCount val="1"/>
                <c:pt idx="0">
                  <c:v>BSFC (g/kWh)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Calculations!$A$4:$A$11</c:f>
              <c:strCache>
                <c:ptCount val="8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</c:strCache>
            </c:strRef>
          </c:cat>
          <c:val>
            <c:numRef>
              <c:f>Calculations!$D$4:$D$11</c:f>
              <c:numCache>
                <c:formatCode>General</c:formatCode>
                <c:ptCount val="8"/>
                <c:pt idx="0">
                  <c:v>330</c:v>
                </c:pt>
                <c:pt idx="1">
                  <c:v>295</c:v>
                </c:pt>
                <c:pt idx="2">
                  <c:v>275</c:v>
                </c:pt>
                <c:pt idx="3">
                  <c:v>265</c:v>
                </c:pt>
                <c:pt idx="4">
                  <c:v>270</c:v>
                </c:pt>
                <c:pt idx="5">
                  <c:v>280</c:v>
                </c:pt>
                <c:pt idx="6">
                  <c:v>295</c:v>
                </c:pt>
                <c:pt idx="7">
                  <c:v>315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326074"/>
        <c:axId val="82778262"/>
      </c:lineChart>
      <c:catAx>
        <c:axId val="183260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Engine Speed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778262"/>
        <c:crosses val="autoZero"/>
        <c:auto val="1"/>
        <c:lblAlgn val="ctr"/>
        <c:lblOffset val="100"/>
        <c:noMultiLvlLbl val="0"/>
      </c:catAx>
      <c:valAx>
        <c:axId val="827782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BSFC (g/kWh)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3260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Brake Thermal Efficiency vs Engine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Calculations!H3</c:f>
              <c:strCache>
                <c:ptCount val="1"/>
                <c:pt idx="0">
                  <c:v>BTE (%)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Calculations!$A$4:$A$11</c:f>
              <c:strCache>
                <c:ptCount val="8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</c:strCache>
            </c:strRef>
          </c:cat>
          <c:val>
            <c:numRef>
              <c:f>Calculations!$H$4:$H$11</c:f>
              <c:numCache>
                <c:formatCode>0.00</c:formatCode>
                <c:ptCount val="8"/>
                <c:pt idx="0">
                  <c:v>24.7933884297521</c:v>
                </c:pt>
                <c:pt idx="1">
                  <c:v>27.7349768875193</c:v>
                </c:pt>
                <c:pt idx="2">
                  <c:v>29.7520661157025</c:v>
                </c:pt>
                <c:pt idx="3">
                  <c:v>30.8747855917667</c:v>
                </c:pt>
                <c:pt idx="4">
                  <c:v>30.3030303030303</c:v>
                </c:pt>
                <c:pt idx="5">
                  <c:v>29.2207792207792</c:v>
                </c:pt>
                <c:pt idx="6">
                  <c:v>27.7349768875193</c:v>
                </c:pt>
                <c:pt idx="7">
                  <c:v>25.974025974026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375067"/>
        <c:axId val="60632372"/>
      </c:lineChart>
      <c:catAx>
        <c:axId val="983750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Engine Speed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632372"/>
        <c:crosses val="autoZero"/>
        <c:auto val="1"/>
        <c:lblAlgn val="ctr"/>
        <c:lblOffset val="100"/>
        <c:noMultiLvlLbl val="0"/>
      </c:catAx>
      <c:valAx>
        <c:axId val="60632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BTE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3750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Torque vs Engine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Calculations!B3</c:f>
              <c:strCache>
                <c:ptCount val="1"/>
                <c:pt idx="0">
                  <c:v>Torque (N·m)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Calculations!$A$4:$A$11</c:f>
              <c:strCache>
                <c:ptCount val="8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</c:strCache>
            </c:strRef>
          </c:cat>
          <c:val>
            <c:numRef>
              <c:f>Calculations!$B$4:$B$11</c:f>
              <c:numCache>
                <c:formatCode>General</c:formatCode>
                <c:ptCount val="8"/>
                <c:pt idx="0">
                  <c:v>65</c:v>
                </c:pt>
                <c:pt idx="1">
                  <c:v>82</c:v>
                </c:pt>
                <c:pt idx="2">
                  <c:v>92</c:v>
                </c:pt>
                <c:pt idx="3">
                  <c:v>98</c:v>
                </c:pt>
                <c:pt idx="4">
                  <c:v>100</c:v>
                </c:pt>
                <c:pt idx="5">
                  <c:v>98</c:v>
                </c:pt>
                <c:pt idx="6">
                  <c:v>94</c:v>
                </c:pt>
                <c:pt idx="7">
                  <c:v>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08009"/>
        <c:axId val="93171267"/>
      </c:lineChart>
      <c:catAx>
        <c:axId val="20080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Engine Speed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171267"/>
        <c:crosses val="autoZero"/>
        <c:auto val="1"/>
        <c:lblAlgn val="ctr"/>
        <c:lblOffset val="100"/>
        <c:noMultiLvlLbl val="0"/>
      </c:catAx>
      <c:valAx>
        <c:axId val="93171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Torque (N·m)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080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Brake Power vs Engine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Calculations!C3</c:f>
              <c:strCache>
                <c:ptCount val="1"/>
                <c:pt idx="0">
                  <c:v>Brake Power (kW)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Calculations!$A$4:$A$11</c:f>
              <c:strCache>
                <c:ptCount val="8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</c:strCache>
            </c:strRef>
          </c:cat>
          <c:val>
            <c:numRef>
              <c:f>Calculations!$C$4:$C$11</c:f>
              <c:numCache>
                <c:formatCode>0.00</c:formatCode>
                <c:ptCount val="8"/>
                <c:pt idx="0">
                  <c:v>10.2101761241668</c:v>
                </c:pt>
                <c:pt idx="1">
                  <c:v>17.1740398396242</c:v>
                </c:pt>
                <c:pt idx="2">
                  <c:v>24.0855436775218</c:v>
                </c:pt>
                <c:pt idx="3">
                  <c:v>30.78760800518</c:v>
                </c:pt>
                <c:pt idx="4">
                  <c:v>36.6519142918809</c:v>
                </c:pt>
                <c:pt idx="5">
                  <c:v>41.0501440069066</c:v>
                </c:pt>
                <c:pt idx="6">
                  <c:v>44.2964564156161</c:v>
                </c:pt>
                <c:pt idx="7">
                  <c:v>46.0766922526503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133235"/>
        <c:axId val="59934635"/>
      </c:lineChart>
      <c:catAx>
        <c:axId val="261332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Engine Speed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934635"/>
        <c:crosses val="autoZero"/>
        <c:auto val="1"/>
        <c:lblAlgn val="ctr"/>
        <c:lblOffset val="100"/>
        <c:noMultiLvlLbl val="0"/>
      </c:catAx>
      <c:valAx>
        <c:axId val="59934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Brake Power (kW)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1332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BSFC vs Engine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Calculations!D3</c:f>
              <c:strCache>
                <c:ptCount val="1"/>
                <c:pt idx="0">
                  <c:v>BSFC (g/kWh)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Calculations!$A$4:$A$11</c:f>
              <c:strCache>
                <c:ptCount val="8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</c:strCache>
            </c:strRef>
          </c:cat>
          <c:val>
            <c:numRef>
              <c:f>Calculations!$D$4:$D$11</c:f>
              <c:numCache>
                <c:formatCode>General</c:formatCode>
                <c:ptCount val="8"/>
                <c:pt idx="0">
                  <c:v>330</c:v>
                </c:pt>
                <c:pt idx="1">
                  <c:v>295</c:v>
                </c:pt>
                <c:pt idx="2">
                  <c:v>275</c:v>
                </c:pt>
                <c:pt idx="3">
                  <c:v>265</c:v>
                </c:pt>
                <c:pt idx="4">
                  <c:v>270</c:v>
                </c:pt>
                <c:pt idx="5">
                  <c:v>280</c:v>
                </c:pt>
                <c:pt idx="6">
                  <c:v>295</c:v>
                </c:pt>
                <c:pt idx="7">
                  <c:v>315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34624"/>
        <c:axId val="62707862"/>
      </c:lineChart>
      <c:catAx>
        <c:axId val="46346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Engine Speed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707862"/>
        <c:crosses val="autoZero"/>
        <c:auto val="1"/>
        <c:lblAlgn val="ctr"/>
        <c:lblOffset val="100"/>
        <c:noMultiLvlLbl val="0"/>
      </c:catAx>
      <c:valAx>
        <c:axId val="62707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BSFC (g/kWh)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346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Brake Thermal Efficiency vs Engine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Calculations!H3</c:f>
              <c:strCache>
                <c:ptCount val="1"/>
                <c:pt idx="0">
                  <c:v>BTE (%)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Calculations!$A$4:$A$11</c:f>
              <c:strCache>
                <c:ptCount val="8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</c:strCache>
            </c:strRef>
          </c:cat>
          <c:val>
            <c:numRef>
              <c:f>Calculations!$H$4:$H$11</c:f>
              <c:numCache>
                <c:formatCode>0.00</c:formatCode>
                <c:ptCount val="8"/>
                <c:pt idx="0">
                  <c:v>24.7933884297521</c:v>
                </c:pt>
                <c:pt idx="1">
                  <c:v>27.7349768875193</c:v>
                </c:pt>
                <c:pt idx="2">
                  <c:v>29.7520661157025</c:v>
                </c:pt>
                <c:pt idx="3">
                  <c:v>30.8747855917667</c:v>
                </c:pt>
                <c:pt idx="4">
                  <c:v>30.3030303030303</c:v>
                </c:pt>
                <c:pt idx="5">
                  <c:v>29.2207792207792</c:v>
                </c:pt>
                <c:pt idx="6">
                  <c:v>27.7349768875193</c:v>
                </c:pt>
                <c:pt idx="7">
                  <c:v>25.974025974026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564984"/>
        <c:axId val="13159785"/>
      </c:lineChart>
      <c:catAx>
        <c:axId val="685649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Engine Speed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159785"/>
        <c:crosses val="autoZero"/>
        <c:auto val="1"/>
        <c:lblAlgn val="ctr"/>
        <c:lblOffset val="100"/>
        <c:noMultiLvlLbl val="0"/>
      </c:catAx>
      <c:valAx>
        <c:axId val="13159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BTE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5649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AFR vs Engine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Calculations!F3</c:f>
              <c:strCache>
                <c:ptCount val="1"/>
                <c:pt idx="0">
                  <c:v>AFR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Calculations!$A$4:$A$11</c:f>
              <c:strCache>
                <c:ptCount val="8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</c:strCache>
            </c:strRef>
          </c:cat>
          <c:val>
            <c:numRef>
              <c:f>Calculations!$F$4:$F$11</c:f>
              <c:numCache>
                <c:formatCode>General</c:formatCode>
                <c:ptCount val="8"/>
                <c:pt idx="0">
                  <c:v>14.5</c:v>
                </c:pt>
                <c:pt idx="1">
                  <c:v>14.5</c:v>
                </c:pt>
                <c:pt idx="2">
                  <c:v>14.4</c:v>
                </c:pt>
                <c:pt idx="3">
                  <c:v>14.3</c:v>
                </c:pt>
                <c:pt idx="4">
                  <c:v>14.2</c:v>
                </c:pt>
                <c:pt idx="5">
                  <c:v>14</c:v>
                </c:pt>
                <c:pt idx="6">
                  <c:v>13.8</c:v>
                </c:pt>
                <c:pt idx="7">
                  <c:v>13.6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31861"/>
        <c:axId val="10033067"/>
      </c:lineChart>
      <c:catAx>
        <c:axId val="88318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Engine Speed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033067"/>
        <c:crosses val="autoZero"/>
        <c:auto val="1"/>
        <c:lblAlgn val="ctr"/>
        <c:lblOffset val="100"/>
        <c:noMultiLvlLbl val="0"/>
      </c:catAx>
      <c:valAx>
        <c:axId val="100330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AFR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318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Volumetric Efficiency vs Engine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Calculations!I3</c:f>
              <c:strCache>
                <c:ptCount val="1"/>
                <c:pt idx="0">
                  <c:v>Volumetric Efficiency (%)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Calculations!$A$4:$A$11</c:f>
              <c:strCache>
                <c:ptCount val="8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</c:strCache>
            </c:strRef>
          </c:cat>
          <c:val>
            <c:numRef>
              <c:f>Calculations!$I$4:$I$11</c:f>
              <c:numCache>
                <c:formatCode>0.00</c:formatCode>
                <c:ptCount val="8"/>
                <c:pt idx="0">
                  <c:v>50.6732318255756</c:v>
                </c:pt>
                <c:pt idx="1">
                  <c:v>57.1461761240407</c:v>
                </c:pt>
                <c:pt idx="2">
                  <c:v>59.3562312312313</c:v>
                </c:pt>
                <c:pt idx="3">
                  <c:v>60.5050037016183</c:v>
                </c:pt>
                <c:pt idx="4">
                  <c:v>62.4648085585586</c:v>
                </c:pt>
                <c:pt idx="5">
                  <c:v>62.5886302969636</c:v>
                </c:pt>
                <c:pt idx="6">
                  <c:v>62.3465262137137</c:v>
                </c:pt>
                <c:pt idx="7">
                  <c:v>61.4207957957958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128013"/>
        <c:axId val="61602755"/>
      </c:lineChart>
      <c:catAx>
        <c:axId val="861280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Engine Speed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602755"/>
        <c:crosses val="autoZero"/>
        <c:auto val="1"/>
        <c:lblAlgn val="ctr"/>
        <c:lblOffset val="100"/>
        <c:noMultiLvlLbl val="0"/>
      </c:catAx>
      <c:valAx>
        <c:axId val="61602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Volumetric Efficiency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1280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131040</xdr:rowOff>
    </xdr:from>
    <xdr:to>
      <xdr:col>4</xdr:col>
      <xdr:colOff>12600</xdr:colOff>
      <xdr:row>23</xdr:row>
      <xdr:rowOff>174240</xdr:rowOff>
    </xdr:to>
    <xdr:graphicFrame>
      <xdr:nvGraphicFramePr>
        <xdr:cNvPr id="0" name="Chart 1"/>
        <xdr:cNvGraphicFramePr/>
      </xdr:nvGraphicFramePr>
      <xdr:xfrm>
        <a:off x="0" y="225756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131040</xdr:rowOff>
    </xdr:from>
    <xdr:to>
      <xdr:col>10</xdr:col>
      <xdr:colOff>12600</xdr:colOff>
      <xdr:row>23</xdr:row>
      <xdr:rowOff>174240</xdr:rowOff>
    </xdr:to>
    <xdr:graphicFrame>
      <xdr:nvGraphicFramePr>
        <xdr:cNvPr id="1" name="Chart 2"/>
        <xdr:cNvGraphicFramePr/>
      </xdr:nvGraphicFramePr>
      <xdr:xfrm>
        <a:off x="5920920" y="225756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130680</xdr:rowOff>
    </xdr:from>
    <xdr:to>
      <xdr:col>4</xdr:col>
      <xdr:colOff>12600</xdr:colOff>
      <xdr:row>38</xdr:row>
      <xdr:rowOff>173880</xdr:rowOff>
    </xdr:to>
    <xdr:graphicFrame>
      <xdr:nvGraphicFramePr>
        <xdr:cNvPr id="2" name="Chart 3"/>
        <xdr:cNvGraphicFramePr/>
      </xdr:nvGraphicFramePr>
      <xdr:xfrm>
        <a:off x="0" y="51148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25</xdr:row>
      <xdr:rowOff>130680</xdr:rowOff>
    </xdr:from>
    <xdr:to>
      <xdr:col>10</xdr:col>
      <xdr:colOff>12600</xdr:colOff>
      <xdr:row>38</xdr:row>
      <xdr:rowOff>173880</xdr:rowOff>
    </xdr:to>
    <xdr:graphicFrame>
      <xdr:nvGraphicFramePr>
        <xdr:cNvPr id="3" name="Chart 4"/>
        <xdr:cNvGraphicFramePr/>
      </xdr:nvGraphicFramePr>
      <xdr:xfrm>
        <a:off x="5920920" y="51148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130680</xdr:rowOff>
    </xdr:from>
    <xdr:to>
      <xdr:col>7</xdr:col>
      <xdr:colOff>39240</xdr:colOff>
      <xdr:row>14</xdr:row>
      <xdr:rowOff>173880</xdr:rowOff>
    </xdr:to>
    <xdr:graphicFrame>
      <xdr:nvGraphicFramePr>
        <xdr:cNvPr id="4" name="Chart 1"/>
        <xdr:cNvGraphicFramePr/>
      </xdr:nvGraphicFramePr>
      <xdr:xfrm>
        <a:off x="0" y="380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130680</xdr:rowOff>
    </xdr:from>
    <xdr:to>
      <xdr:col>16</xdr:col>
      <xdr:colOff>39240</xdr:colOff>
      <xdr:row>14</xdr:row>
      <xdr:rowOff>173880</xdr:rowOff>
    </xdr:to>
    <xdr:graphicFrame>
      <xdr:nvGraphicFramePr>
        <xdr:cNvPr id="5" name="Chart 2"/>
        <xdr:cNvGraphicFramePr/>
      </xdr:nvGraphicFramePr>
      <xdr:xfrm>
        <a:off x="5503680" y="380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16</xdr:row>
      <xdr:rowOff>131040</xdr:rowOff>
    </xdr:from>
    <xdr:to>
      <xdr:col>7</xdr:col>
      <xdr:colOff>39240</xdr:colOff>
      <xdr:row>29</xdr:row>
      <xdr:rowOff>173880</xdr:rowOff>
    </xdr:to>
    <xdr:graphicFrame>
      <xdr:nvGraphicFramePr>
        <xdr:cNvPr id="6" name="Chart 3"/>
        <xdr:cNvGraphicFramePr/>
      </xdr:nvGraphicFramePr>
      <xdr:xfrm>
        <a:off x="0" y="32385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16</xdr:row>
      <xdr:rowOff>131040</xdr:rowOff>
    </xdr:from>
    <xdr:to>
      <xdr:col>16</xdr:col>
      <xdr:colOff>39240</xdr:colOff>
      <xdr:row>29</xdr:row>
      <xdr:rowOff>173880</xdr:rowOff>
    </xdr:to>
    <xdr:graphicFrame>
      <xdr:nvGraphicFramePr>
        <xdr:cNvPr id="7" name="Chart 4"/>
        <xdr:cNvGraphicFramePr/>
      </xdr:nvGraphicFramePr>
      <xdr:xfrm>
        <a:off x="5503680" y="32385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31</xdr:row>
      <xdr:rowOff>130680</xdr:rowOff>
    </xdr:from>
    <xdr:to>
      <xdr:col>7</xdr:col>
      <xdr:colOff>39240</xdr:colOff>
      <xdr:row>44</xdr:row>
      <xdr:rowOff>173880</xdr:rowOff>
    </xdr:to>
    <xdr:graphicFrame>
      <xdr:nvGraphicFramePr>
        <xdr:cNvPr id="8" name="Chart 5"/>
        <xdr:cNvGraphicFramePr/>
      </xdr:nvGraphicFramePr>
      <xdr:xfrm>
        <a:off x="0" y="6095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31</xdr:row>
      <xdr:rowOff>130680</xdr:rowOff>
    </xdr:from>
    <xdr:to>
      <xdr:col>16</xdr:col>
      <xdr:colOff>39240</xdr:colOff>
      <xdr:row>44</xdr:row>
      <xdr:rowOff>173880</xdr:rowOff>
    </xdr:to>
    <xdr:graphicFrame>
      <xdr:nvGraphicFramePr>
        <xdr:cNvPr id="9" name="Chart 6"/>
        <xdr:cNvGraphicFramePr/>
      </xdr:nvGraphicFramePr>
      <xdr:xfrm>
        <a:off x="5503680" y="6095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8"/>
    <col collapsed="false" customWidth="true" hidden="false" outlineLevel="0" max="8" min="3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 t="s">
        <v>3</v>
      </c>
      <c r="B4" s="2" t="s">
        <v>4</v>
      </c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 t="s">
        <v>5</v>
      </c>
      <c r="B5" s="2" t="s">
        <v>6</v>
      </c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6.15" hidden="false" customHeight="false" outlineLevel="0" collapsed="false">
      <c r="A7" s="3" t="s">
        <v>7</v>
      </c>
      <c r="B7" s="2"/>
      <c r="C7" s="2"/>
      <c r="D7" s="3" t="s">
        <v>8</v>
      </c>
      <c r="E7" s="2"/>
      <c r="F7" s="2"/>
      <c r="G7" s="2"/>
      <c r="H7" s="2"/>
    </row>
    <row r="8" customFormat="false" ht="15" hidden="false" customHeight="false" outlineLevel="0" collapsed="false">
      <c r="A8" s="2" t="s">
        <v>9</v>
      </c>
      <c r="B8" s="2" t="s">
        <v>10</v>
      </c>
      <c r="C8" s="2"/>
      <c r="D8" s="4" t="s">
        <v>11</v>
      </c>
      <c r="E8" s="5" t="n">
        <f aca="false">'Performance Results'!B4</f>
        <v>100</v>
      </c>
      <c r="F8" s="5"/>
      <c r="G8" s="2"/>
      <c r="H8" s="2"/>
    </row>
    <row r="9" customFormat="false" ht="15" hidden="false" customHeight="false" outlineLevel="0" collapsed="false">
      <c r="A9" s="2" t="s">
        <v>12</v>
      </c>
      <c r="B9" s="2" t="n">
        <f aca="false">'Engine Specifications'!B5</f>
        <v>4</v>
      </c>
      <c r="C9" s="2"/>
      <c r="D9" s="4" t="s">
        <v>13</v>
      </c>
      <c r="E9" s="5" t="n">
        <f aca="false">'Performance Results'!B5</f>
        <v>46.0766922526503</v>
      </c>
      <c r="F9" s="5"/>
      <c r="G9" s="2"/>
      <c r="H9" s="2"/>
    </row>
    <row r="10" customFormat="false" ht="15" hidden="false" customHeight="false" outlineLevel="0" collapsed="false">
      <c r="A10" s="2" t="s">
        <v>14</v>
      </c>
      <c r="B10" s="2" t="n">
        <f aca="false">'Engine Specifications'!B9</f>
        <v>1.8096</v>
      </c>
      <c r="C10" s="2"/>
      <c r="D10" s="4" t="s">
        <v>15</v>
      </c>
      <c r="E10" s="5" t="n">
        <f aca="false">'Performance Results'!B6</f>
        <v>265</v>
      </c>
      <c r="F10" s="5"/>
      <c r="G10" s="2"/>
      <c r="H10" s="2"/>
    </row>
    <row r="11" customFormat="false" ht="15" hidden="false" customHeight="false" outlineLevel="0" collapsed="false">
      <c r="A11" s="2" t="s">
        <v>16</v>
      </c>
      <c r="B11" s="2" t="str">
        <f aca="false">TEXT('Engine Specifications'!B6,"0")&amp;" mm × "&amp;TEXT('Engine Specifications'!B7,"0")&amp;" mm"</f>
        <v>80 mm × 90 mm</v>
      </c>
      <c r="C11" s="2"/>
      <c r="D11" s="4" t="s">
        <v>17</v>
      </c>
      <c r="E11" s="5" t="n">
        <f aca="false">'Performance Results'!B7</f>
        <v>30.8747855917667</v>
      </c>
      <c r="F11" s="5"/>
      <c r="G11" s="2"/>
      <c r="H11" s="2"/>
    </row>
    <row r="12" customFormat="false" ht="15" hidden="false" customHeight="false" outlineLevel="0" collapsed="false">
      <c r="A12" s="2" t="s">
        <v>18</v>
      </c>
      <c r="B12" s="2" t="n">
        <f aca="false">'Engine Specifications'!B8</f>
        <v>9.5</v>
      </c>
      <c r="C12" s="2"/>
      <c r="D12" s="4" t="s">
        <v>19</v>
      </c>
      <c r="E12" s="5" t="n">
        <f aca="false">'Performance Results'!B8</f>
        <v>62.5886302969636</v>
      </c>
      <c r="F12" s="5"/>
      <c r="G12" s="2"/>
      <c r="H12" s="2"/>
    </row>
    <row r="13" customFormat="false" ht="15" hidden="false" customHeight="false" outlineLevel="0" collapsed="false">
      <c r="A13" s="2" t="s">
        <v>20</v>
      </c>
      <c r="B13" s="2" t="str">
        <f aca="false">'Engine Specifications'!B11</f>
        <v>Petrol</v>
      </c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 t="s">
        <v>21</v>
      </c>
      <c r="B14" s="2" t="str">
        <f aca="false">TEXT('Engine Specifications'!B12,"0.0")&amp;" MJ/kg"</f>
        <v>44.0 MJ/kg</v>
      </c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6.15" hidden="false" customHeight="false" outlineLevel="0" collapsed="false">
      <c r="A17" s="3" t="s">
        <v>22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6" t="s">
        <v>23</v>
      </c>
      <c r="B18" s="6"/>
      <c r="C18" s="6"/>
      <c r="D18" s="6"/>
      <c r="E18" s="6"/>
      <c r="F18" s="6"/>
      <c r="G18" s="6"/>
      <c r="H18" s="6"/>
    </row>
    <row r="19" customFormat="false" ht="15" hidden="false" customHeight="true" outlineLevel="0" collapsed="false">
      <c r="A19" s="6" t="s">
        <v>24</v>
      </c>
      <c r="B19" s="6"/>
      <c r="C19" s="6"/>
      <c r="D19" s="6"/>
      <c r="E19" s="6"/>
      <c r="F19" s="6"/>
      <c r="G19" s="6"/>
      <c r="H19" s="6"/>
    </row>
    <row r="20" customFormat="false" ht="15" hidden="false" customHeight="true" outlineLevel="0" collapsed="false">
      <c r="A20" s="6" t="s">
        <v>25</v>
      </c>
      <c r="B20" s="6"/>
      <c r="C20" s="6"/>
      <c r="D20" s="6"/>
      <c r="E20" s="6"/>
      <c r="F20" s="6"/>
      <c r="G20" s="6"/>
      <c r="H20" s="6"/>
    </row>
    <row r="21" customFormat="false" ht="15" hidden="false" customHeight="true" outlineLevel="0" collapsed="false">
      <c r="A21" s="6" t="s">
        <v>26</v>
      </c>
      <c r="B21" s="6"/>
      <c r="C21" s="6"/>
      <c r="D21" s="6"/>
      <c r="E21" s="6"/>
      <c r="F21" s="6"/>
      <c r="G21" s="6"/>
      <c r="H21" s="6"/>
    </row>
    <row r="22" customFormat="false" ht="15" hidden="false" customHeight="true" outlineLevel="0" collapsed="false">
      <c r="A22" s="6" t="s">
        <v>27</v>
      </c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7" t="s">
        <v>28</v>
      </c>
      <c r="B25" s="2"/>
      <c r="C25" s="2"/>
      <c r="D25" s="2"/>
      <c r="E25" s="2"/>
      <c r="F25" s="2"/>
      <c r="G25" s="2"/>
      <c r="H25" s="2"/>
    </row>
    <row r="26" customFormat="false" ht="15" hidden="false" customHeight="true" outlineLevel="0" collapsed="false">
      <c r="A26" s="8" t="s">
        <v>29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</row>
  </sheetData>
  <mergeCells count="14">
    <mergeCell ref="A1:H1"/>
    <mergeCell ref="B3:H3"/>
    <mergeCell ref="B5:H5"/>
    <mergeCell ref="E8:F8"/>
    <mergeCell ref="E9:F9"/>
    <mergeCell ref="E10:F10"/>
    <mergeCell ref="E11:F11"/>
    <mergeCell ref="E12:F12"/>
    <mergeCell ref="A18:H18"/>
    <mergeCell ref="A19:H19"/>
    <mergeCell ref="A20:H20"/>
    <mergeCell ref="A21:H21"/>
    <mergeCell ref="A22:H22"/>
    <mergeCell ref="A26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9" t="s">
        <v>0</v>
      </c>
      <c r="B1" s="9"/>
      <c r="C1" s="9"/>
    </row>
    <row r="3" customFormat="false" ht="15" hidden="false" customHeight="false" outlineLevel="0" collapsed="false">
      <c r="A3" s="10" t="s">
        <v>30</v>
      </c>
      <c r="B3" s="10" t="s">
        <v>31</v>
      </c>
      <c r="C3" s="10" t="s">
        <v>32</v>
      </c>
    </row>
    <row r="4" customFormat="false" ht="15" hidden="false" customHeight="false" outlineLevel="0" collapsed="false">
      <c r="A4" s="2" t="s">
        <v>33</v>
      </c>
      <c r="B4" s="2" t="s">
        <v>34</v>
      </c>
      <c r="C4" s="2" t="s">
        <v>35</v>
      </c>
    </row>
    <row r="5" customFormat="false" ht="15" hidden="false" customHeight="false" outlineLevel="0" collapsed="false">
      <c r="A5" s="2" t="s">
        <v>36</v>
      </c>
      <c r="B5" s="2" t="n">
        <v>4</v>
      </c>
      <c r="C5" s="2" t="s">
        <v>35</v>
      </c>
    </row>
    <row r="6" customFormat="false" ht="15" hidden="false" customHeight="false" outlineLevel="0" collapsed="false">
      <c r="A6" s="2" t="s">
        <v>37</v>
      </c>
      <c r="B6" s="2" t="n">
        <v>80</v>
      </c>
      <c r="C6" s="2" t="s">
        <v>38</v>
      </c>
    </row>
    <row r="7" customFormat="false" ht="15" hidden="false" customHeight="false" outlineLevel="0" collapsed="false">
      <c r="A7" s="2" t="s">
        <v>39</v>
      </c>
      <c r="B7" s="2" t="n">
        <v>90</v>
      </c>
      <c r="C7" s="2" t="s">
        <v>38</v>
      </c>
    </row>
    <row r="8" customFormat="false" ht="15" hidden="false" customHeight="false" outlineLevel="0" collapsed="false">
      <c r="A8" s="2" t="s">
        <v>18</v>
      </c>
      <c r="B8" s="2" t="n">
        <v>9.5</v>
      </c>
      <c r="C8" s="2" t="s">
        <v>35</v>
      </c>
    </row>
    <row r="9" customFormat="false" ht="15" hidden="false" customHeight="false" outlineLevel="0" collapsed="false">
      <c r="A9" s="2" t="s">
        <v>14</v>
      </c>
      <c r="B9" s="2" t="n">
        <v>1.8096</v>
      </c>
      <c r="C9" s="2" t="s">
        <v>40</v>
      </c>
    </row>
    <row r="10" customFormat="false" ht="15" hidden="false" customHeight="false" outlineLevel="0" collapsed="false">
      <c r="A10" s="2" t="s">
        <v>14</v>
      </c>
      <c r="B10" s="2" t="n">
        <v>0.0018096</v>
      </c>
      <c r="C10" s="2" t="s">
        <v>41</v>
      </c>
    </row>
    <row r="11" customFormat="false" ht="15" hidden="false" customHeight="false" outlineLevel="0" collapsed="false">
      <c r="A11" s="2" t="s">
        <v>20</v>
      </c>
      <c r="B11" s="2" t="s">
        <v>42</v>
      </c>
      <c r="C11" s="2" t="s">
        <v>35</v>
      </c>
    </row>
    <row r="12" customFormat="false" ht="15" hidden="false" customHeight="false" outlineLevel="0" collapsed="false">
      <c r="A12" s="2" t="s">
        <v>21</v>
      </c>
      <c r="B12" s="2" t="n">
        <v>44</v>
      </c>
      <c r="C12" s="2" t="s">
        <v>43</v>
      </c>
    </row>
    <row r="13" customFormat="false" ht="15" hidden="false" customHeight="false" outlineLevel="0" collapsed="false">
      <c r="A13" s="2" t="s">
        <v>44</v>
      </c>
      <c r="B13" s="2" t="n">
        <v>25</v>
      </c>
      <c r="C13" s="2" t="s">
        <v>45</v>
      </c>
    </row>
    <row r="14" customFormat="false" ht="15" hidden="false" customHeight="false" outlineLevel="0" collapsed="false">
      <c r="A14" s="2" t="s">
        <v>46</v>
      </c>
      <c r="B14" s="2" t="n">
        <v>101.325</v>
      </c>
      <c r="C14" s="2" t="s">
        <v>47</v>
      </c>
    </row>
    <row r="15" customFormat="false" ht="15" hidden="false" customHeight="false" outlineLevel="0" collapsed="false">
      <c r="A15" s="2" t="s">
        <v>48</v>
      </c>
      <c r="B15" s="2" t="n">
        <v>1.184</v>
      </c>
      <c r="C15" s="2" t="s">
        <v>49</v>
      </c>
    </row>
    <row r="18" customFormat="false" ht="15" hidden="false" customHeight="false" outlineLevel="0" collapsed="false">
      <c r="A18" s="4" t="s">
        <v>50</v>
      </c>
      <c r="B18" s="2"/>
    </row>
    <row r="19" customFormat="false" ht="15" hidden="false" customHeight="false" outlineLevel="0" collapsed="false">
      <c r="A19" s="2" t="s">
        <v>51</v>
      </c>
      <c r="B19" s="2" t="s">
        <v>52</v>
      </c>
    </row>
    <row r="20" customFormat="false" ht="15" hidden="false" customHeight="false" outlineLevel="0" collapsed="false">
      <c r="A20" s="2" t="s">
        <v>53</v>
      </c>
      <c r="B20" s="2" t="n">
        <f aca="false">PI()/4*(B6/1000)^2*(B7/1000)*B5</f>
        <v>0.00180955736846772</v>
      </c>
    </row>
    <row r="21" customFormat="false" ht="15" hidden="false" customHeight="false" outlineLevel="0" collapsed="false">
      <c r="A21" s="2" t="s">
        <v>54</v>
      </c>
      <c r="B21" s="2" t="n">
        <f aca="false">B20*1000</f>
        <v>1.80955736846772</v>
      </c>
    </row>
    <row r="23" customFormat="false" ht="15" hidden="false" customHeight="true" outlineLevel="0" collapsed="false">
      <c r="A23" s="0" t="s">
        <v>55</v>
      </c>
      <c r="B23" s="11" t="s">
        <v>56</v>
      </c>
      <c r="C23" s="11"/>
    </row>
    <row r="24" customFormat="false" ht="15" hidden="false" customHeight="false" outlineLevel="0" collapsed="false">
      <c r="B24" s="11"/>
      <c r="C24" s="11"/>
    </row>
  </sheetData>
  <mergeCells count="2">
    <mergeCell ref="A1:C1"/>
    <mergeCell ref="B23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9" t="s">
        <v>57</v>
      </c>
      <c r="B1" s="9"/>
      <c r="C1" s="9"/>
      <c r="D1" s="9"/>
    </row>
    <row r="2" customFormat="false" ht="15" hidden="false" customHeight="false" outlineLevel="0" collapsed="false">
      <c r="A2" s="12" t="s">
        <v>58</v>
      </c>
    </row>
    <row r="3" customFormat="false" ht="15" hidden="false" customHeight="false" outlineLevel="0" collapsed="false">
      <c r="A3" s="10" t="s">
        <v>59</v>
      </c>
      <c r="B3" s="10" t="s">
        <v>60</v>
      </c>
      <c r="C3" s="10" t="s">
        <v>61</v>
      </c>
      <c r="D3" s="10" t="s">
        <v>62</v>
      </c>
    </row>
    <row r="4" customFormat="false" ht="15" hidden="false" customHeight="false" outlineLevel="0" collapsed="false">
      <c r="A4" s="2" t="n">
        <v>1500</v>
      </c>
      <c r="B4" s="2" t="n">
        <v>65</v>
      </c>
      <c r="C4" s="2" t="n">
        <v>330</v>
      </c>
      <c r="D4" s="2" t="n">
        <v>14.5</v>
      </c>
    </row>
    <row r="5" customFormat="false" ht="15" hidden="false" customHeight="false" outlineLevel="0" collapsed="false">
      <c r="A5" s="2" t="n">
        <v>2000</v>
      </c>
      <c r="B5" s="2" t="n">
        <v>82</v>
      </c>
      <c r="C5" s="2" t="n">
        <v>295</v>
      </c>
      <c r="D5" s="2" t="n">
        <v>14.5</v>
      </c>
    </row>
    <row r="6" customFormat="false" ht="15" hidden="false" customHeight="false" outlineLevel="0" collapsed="false">
      <c r="A6" s="2" t="n">
        <v>2500</v>
      </c>
      <c r="B6" s="2" t="n">
        <v>92</v>
      </c>
      <c r="C6" s="2" t="n">
        <v>275</v>
      </c>
      <c r="D6" s="2" t="n">
        <v>14.4</v>
      </c>
    </row>
    <row r="7" customFormat="false" ht="15" hidden="false" customHeight="false" outlineLevel="0" collapsed="false">
      <c r="A7" s="2" t="n">
        <v>3000</v>
      </c>
      <c r="B7" s="2" t="n">
        <v>98</v>
      </c>
      <c r="C7" s="2" t="n">
        <v>265</v>
      </c>
      <c r="D7" s="2" t="n">
        <v>14.3</v>
      </c>
    </row>
    <row r="8" customFormat="false" ht="15" hidden="false" customHeight="false" outlineLevel="0" collapsed="false">
      <c r="A8" s="2" t="n">
        <v>3500</v>
      </c>
      <c r="B8" s="2" t="n">
        <v>100</v>
      </c>
      <c r="C8" s="2" t="n">
        <v>270</v>
      </c>
      <c r="D8" s="2" t="n">
        <v>14.2</v>
      </c>
    </row>
    <row r="9" customFormat="false" ht="15" hidden="false" customHeight="false" outlineLevel="0" collapsed="false">
      <c r="A9" s="2" t="n">
        <v>4000</v>
      </c>
      <c r="B9" s="2" t="n">
        <v>98</v>
      </c>
      <c r="C9" s="2" t="n">
        <v>280</v>
      </c>
      <c r="D9" s="2" t="n">
        <v>14</v>
      </c>
    </row>
    <row r="10" customFormat="false" ht="15" hidden="false" customHeight="false" outlineLevel="0" collapsed="false">
      <c r="A10" s="2" t="n">
        <v>4500</v>
      </c>
      <c r="B10" s="2" t="n">
        <v>94</v>
      </c>
      <c r="C10" s="2" t="n">
        <v>295</v>
      </c>
      <c r="D10" s="2" t="n">
        <v>13.8</v>
      </c>
    </row>
    <row r="11" customFormat="false" ht="15" hidden="false" customHeight="false" outlineLevel="0" collapsed="false">
      <c r="A11" s="2" t="n">
        <v>5000</v>
      </c>
      <c r="B11" s="2" t="n">
        <v>88</v>
      </c>
      <c r="C11" s="2" t="n">
        <v>315</v>
      </c>
      <c r="D11" s="2" t="n">
        <v>13.6</v>
      </c>
    </row>
    <row r="14" customFormat="false" ht="68.65" hidden="false" customHeight="false" outlineLevel="0" collapsed="false">
      <c r="A14" s="0" t="s">
        <v>63</v>
      </c>
      <c r="B14" s="13" t="s">
        <v>64</v>
      </c>
    </row>
    <row r="16" customFormat="false" ht="15" hidden="false" customHeight="true" outlineLevel="0" collapsed="false">
      <c r="A16" s="0" t="s">
        <v>65</v>
      </c>
      <c r="B16" s="14" t="s">
        <v>66</v>
      </c>
      <c r="C16" s="14"/>
      <c r="D16" s="14"/>
    </row>
    <row r="17" customFormat="false" ht="15" hidden="false" customHeight="false" outlineLevel="0" collapsed="false">
      <c r="B17" s="14"/>
      <c r="C17" s="14"/>
      <c r="D17" s="14"/>
    </row>
  </sheetData>
  <mergeCells count="2">
    <mergeCell ref="A1:D1"/>
    <mergeCell ref="B16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5"/>
  </cols>
  <sheetData>
    <row r="1" customFormat="false" ht="19.7" hidden="false" customHeight="false" outlineLevel="0" collapsed="false">
      <c r="A1" s="9" t="s">
        <v>67</v>
      </c>
      <c r="B1" s="9"/>
      <c r="C1" s="9"/>
      <c r="D1" s="9"/>
      <c r="E1" s="9"/>
      <c r="F1" s="9"/>
      <c r="G1" s="9"/>
      <c r="H1" s="9"/>
      <c r="I1" s="9"/>
    </row>
    <row r="3" customFormat="false" ht="15" hidden="false" customHeight="false" outlineLevel="0" collapsed="false">
      <c r="A3" s="10" t="s">
        <v>59</v>
      </c>
      <c r="B3" s="10" t="s">
        <v>60</v>
      </c>
      <c r="C3" s="10" t="s">
        <v>68</v>
      </c>
      <c r="D3" s="10" t="s">
        <v>61</v>
      </c>
      <c r="E3" s="10" t="s">
        <v>69</v>
      </c>
      <c r="F3" s="10" t="s">
        <v>62</v>
      </c>
      <c r="G3" s="10" t="s">
        <v>70</v>
      </c>
      <c r="H3" s="10" t="s">
        <v>71</v>
      </c>
      <c r="I3" s="10" t="s">
        <v>72</v>
      </c>
    </row>
    <row r="4" customFormat="false" ht="15" hidden="false" customHeight="false" outlineLevel="0" collapsed="false">
      <c r="A4" s="2" t="n">
        <f aca="false">'Input Data'!A4</f>
        <v>1500</v>
      </c>
      <c r="B4" s="2" t="n">
        <f aca="false">'Input Data'!B4</f>
        <v>65</v>
      </c>
      <c r="C4" s="15" t="n">
        <f aca="false">2*PI()*A4*B4/60000</f>
        <v>10.2101761241668</v>
      </c>
      <c r="D4" s="2" t="n">
        <f aca="false">'Input Data'!C4</f>
        <v>330</v>
      </c>
      <c r="E4" s="15" t="n">
        <f aca="false">C4*D4/1000</f>
        <v>3.36935812097505</v>
      </c>
      <c r="F4" s="2" t="n">
        <f aca="false">'Input Data'!D4</f>
        <v>14.5</v>
      </c>
      <c r="G4" s="15" t="n">
        <f aca="false">E4*F4</f>
        <v>48.8556927541383</v>
      </c>
      <c r="H4" s="15" t="n">
        <f aca="false">C4/((E4/3.6)*'Engine Specifications'!$B$12)*100</f>
        <v>24.7933884297521</v>
      </c>
      <c r="I4" s="15" t="n">
        <f aca="false">(G4/3600)/('Engine Specifications'!$B$15*'Engine Specifications'!$B$20*A4/(2*60))*100</f>
        <v>50.6732318255756</v>
      </c>
    </row>
    <row r="5" customFormat="false" ht="15" hidden="false" customHeight="false" outlineLevel="0" collapsed="false">
      <c r="A5" s="2" t="n">
        <f aca="false">'Input Data'!A5</f>
        <v>2000</v>
      </c>
      <c r="B5" s="2" t="n">
        <f aca="false">'Input Data'!B5</f>
        <v>82</v>
      </c>
      <c r="C5" s="15" t="n">
        <f aca="false">2*PI()*A5*B5/60000</f>
        <v>17.1740398396242</v>
      </c>
      <c r="D5" s="2" t="n">
        <f aca="false">'Input Data'!C5</f>
        <v>295</v>
      </c>
      <c r="E5" s="15" t="n">
        <f aca="false">C5*D5/1000</f>
        <v>5.06634175268914</v>
      </c>
      <c r="F5" s="2" t="n">
        <f aca="false">'Input Data'!D5</f>
        <v>14.5</v>
      </c>
      <c r="G5" s="15" t="n">
        <f aca="false">E5*F5</f>
        <v>73.4619554139925</v>
      </c>
      <c r="H5" s="15" t="n">
        <f aca="false">C5/((E5/3.6)*'Engine Specifications'!$B$12)*100</f>
        <v>27.7349768875193</v>
      </c>
      <c r="I5" s="15" t="n">
        <f aca="false">(G5/3600)/('Engine Specifications'!$B$15*'Engine Specifications'!$B$20*A5/(2*60))*100</f>
        <v>57.1461761240407</v>
      </c>
    </row>
    <row r="6" customFormat="false" ht="15" hidden="false" customHeight="false" outlineLevel="0" collapsed="false">
      <c r="A6" s="2" t="n">
        <f aca="false">'Input Data'!A6</f>
        <v>2500</v>
      </c>
      <c r="B6" s="2" t="n">
        <f aca="false">'Input Data'!B6</f>
        <v>92</v>
      </c>
      <c r="C6" s="15" t="n">
        <f aca="false">2*PI()*A6*B6/60000</f>
        <v>24.0855436775218</v>
      </c>
      <c r="D6" s="2" t="n">
        <f aca="false">'Input Data'!C6</f>
        <v>275</v>
      </c>
      <c r="E6" s="15" t="n">
        <f aca="false">C6*D6/1000</f>
        <v>6.62352451131848</v>
      </c>
      <c r="F6" s="2" t="n">
        <f aca="false">'Input Data'!D6</f>
        <v>14.4</v>
      </c>
      <c r="G6" s="15" t="n">
        <f aca="false">E6*F6</f>
        <v>95.3787529629861</v>
      </c>
      <c r="H6" s="15" t="n">
        <f aca="false">C6/((E6/3.6)*'Engine Specifications'!$B$12)*100</f>
        <v>29.7520661157025</v>
      </c>
      <c r="I6" s="15" t="n">
        <f aca="false">(G6/3600)/('Engine Specifications'!$B$15*'Engine Specifications'!$B$20*A6/(2*60))*100</f>
        <v>59.3562312312313</v>
      </c>
    </row>
    <row r="7" customFormat="false" ht="15" hidden="false" customHeight="false" outlineLevel="0" collapsed="false">
      <c r="A7" s="2" t="n">
        <f aca="false">'Input Data'!A7</f>
        <v>3000</v>
      </c>
      <c r="B7" s="2" t="n">
        <f aca="false">'Input Data'!B7</f>
        <v>98</v>
      </c>
      <c r="C7" s="15" t="n">
        <f aca="false">2*PI()*A7*B7/60000</f>
        <v>30.78760800518</v>
      </c>
      <c r="D7" s="2" t="n">
        <f aca="false">'Input Data'!C7</f>
        <v>265</v>
      </c>
      <c r="E7" s="15" t="n">
        <f aca="false">C7*D7/1000</f>
        <v>8.15871612137269</v>
      </c>
      <c r="F7" s="2" t="n">
        <f aca="false">'Input Data'!D7</f>
        <v>14.3</v>
      </c>
      <c r="G7" s="15" t="n">
        <f aca="false">E7*F7</f>
        <v>116.66964053563</v>
      </c>
      <c r="H7" s="15" t="n">
        <f aca="false">C7/((E7/3.6)*'Engine Specifications'!$B$12)*100</f>
        <v>30.8747855917667</v>
      </c>
      <c r="I7" s="15" t="n">
        <f aca="false">(G7/3600)/('Engine Specifications'!$B$15*'Engine Specifications'!$B$20*A7/(2*60))*100</f>
        <v>60.5050037016183</v>
      </c>
    </row>
    <row r="8" customFormat="false" ht="15" hidden="false" customHeight="false" outlineLevel="0" collapsed="false">
      <c r="A8" s="2" t="n">
        <f aca="false">'Input Data'!A8</f>
        <v>3500</v>
      </c>
      <c r="B8" s="2" t="n">
        <f aca="false">'Input Data'!B8</f>
        <v>100</v>
      </c>
      <c r="C8" s="15" t="n">
        <f aca="false">2*PI()*A8*B8/60000</f>
        <v>36.6519142918809</v>
      </c>
      <c r="D8" s="2" t="n">
        <f aca="false">'Input Data'!C8</f>
        <v>270</v>
      </c>
      <c r="E8" s="15" t="n">
        <f aca="false">C8*D8/1000</f>
        <v>9.89601685880785</v>
      </c>
      <c r="F8" s="2" t="n">
        <f aca="false">'Input Data'!D8</f>
        <v>14.2</v>
      </c>
      <c r="G8" s="15" t="n">
        <f aca="false">E8*F8</f>
        <v>140.523439395071</v>
      </c>
      <c r="H8" s="15" t="n">
        <f aca="false">C8/((E8/3.6)*'Engine Specifications'!$B$12)*100</f>
        <v>30.3030303030303</v>
      </c>
      <c r="I8" s="15" t="n">
        <f aca="false">(G8/3600)/('Engine Specifications'!$B$15*'Engine Specifications'!$B$20*A8/(2*60))*100</f>
        <v>62.4648085585586</v>
      </c>
    </row>
    <row r="9" customFormat="false" ht="15" hidden="false" customHeight="false" outlineLevel="0" collapsed="false">
      <c r="A9" s="2" t="n">
        <f aca="false">'Input Data'!A9</f>
        <v>4000</v>
      </c>
      <c r="B9" s="2" t="n">
        <f aca="false">'Input Data'!B9</f>
        <v>98</v>
      </c>
      <c r="C9" s="15" t="n">
        <f aca="false">2*PI()*A9*B9/60000</f>
        <v>41.0501440069066</v>
      </c>
      <c r="D9" s="2" t="n">
        <f aca="false">'Input Data'!C9</f>
        <v>280</v>
      </c>
      <c r="E9" s="15" t="n">
        <f aca="false">C9*D9/1000</f>
        <v>11.4940403219339</v>
      </c>
      <c r="F9" s="2" t="n">
        <f aca="false">'Input Data'!D9</f>
        <v>14</v>
      </c>
      <c r="G9" s="15" t="n">
        <f aca="false">E9*F9</f>
        <v>160.916564507074</v>
      </c>
      <c r="H9" s="15" t="n">
        <f aca="false">C9/((E9/3.6)*'Engine Specifications'!$B$12)*100</f>
        <v>29.2207792207792</v>
      </c>
      <c r="I9" s="15" t="n">
        <f aca="false">(G9/3600)/('Engine Specifications'!$B$15*'Engine Specifications'!$B$20*A9/(2*60))*100</f>
        <v>62.5886302969636</v>
      </c>
    </row>
    <row r="10" customFormat="false" ht="15" hidden="false" customHeight="false" outlineLevel="0" collapsed="false">
      <c r="A10" s="2" t="n">
        <f aca="false">'Input Data'!A10</f>
        <v>4500</v>
      </c>
      <c r="B10" s="2" t="n">
        <f aca="false">'Input Data'!B10</f>
        <v>94</v>
      </c>
      <c r="C10" s="15" t="n">
        <f aca="false">2*PI()*A10*B10/60000</f>
        <v>44.2964564156161</v>
      </c>
      <c r="D10" s="2" t="n">
        <f aca="false">'Input Data'!C10</f>
        <v>295</v>
      </c>
      <c r="E10" s="15" t="n">
        <f aca="false">C10*D10/1000</f>
        <v>13.0674546426067</v>
      </c>
      <c r="F10" s="2" t="n">
        <f aca="false">'Input Data'!D10</f>
        <v>13.8</v>
      </c>
      <c r="G10" s="15" t="n">
        <f aca="false">E10*F10</f>
        <v>180.330874067973</v>
      </c>
      <c r="H10" s="15" t="n">
        <f aca="false">C10/((E10/3.6)*'Engine Specifications'!$B$12)*100</f>
        <v>27.7349768875193</v>
      </c>
      <c r="I10" s="15" t="n">
        <f aca="false">(G10/3600)/('Engine Specifications'!$B$15*'Engine Specifications'!$B$20*A10/(2*60))*100</f>
        <v>62.3465262137137</v>
      </c>
    </row>
    <row r="11" customFormat="false" ht="15" hidden="false" customHeight="false" outlineLevel="0" collapsed="false">
      <c r="A11" s="2" t="n">
        <f aca="false">'Input Data'!A11</f>
        <v>5000</v>
      </c>
      <c r="B11" s="2" t="n">
        <f aca="false">'Input Data'!B11</f>
        <v>88</v>
      </c>
      <c r="C11" s="15" t="n">
        <f aca="false">2*PI()*A11*B11/60000</f>
        <v>46.0766922526503</v>
      </c>
      <c r="D11" s="2" t="n">
        <f aca="false">'Input Data'!C11</f>
        <v>315</v>
      </c>
      <c r="E11" s="15" t="n">
        <f aca="false">C11*D11/1000</f>
        <v>14.5141580595848</v>
      </c>
      <c r="F11" s="2" t="n">
        <f aca="false">'Input Data'!D11</f>
        <v>13.6</v>
      </c>
      <c r="G11" s="15" t="n">
        <f aca="false">E11*F11</f>
        <v>197.392549610354</v>
      </c>
      <c r="H11" s="15" t="n">
        <f aca="false">C11/((E11/3.6)*'Engine Specifications'!$B$12)*100</f>
        <v>25.974025974026</v>
      </c>
      <c r="I11" s="15" t="n">
        <f aca="false">(G11/3600)/('Engine Specifications'!$B$15*'Engine Specifications'!$B$20*A11/(2*60))*100</f>
        <v>61.4207957957958</v>
      </c>
    </row>
    <row r="14" customFormat="false" ht="15" hidden="false" customHeight="true" outlineLevel="0" collapsed="false">
      <c r="A14" s="16" t="s">
        <v>73</v>
      </c>
      <c r="B14" s="16"/>
      <c r="C14" s="16"/>
      <c r="D14" s="16"/>
      <c r="E14" s="16"/>
      <c r="F14" s="16"/>
      <c r="G14" s="16"/>
      <c r="H14" s="16"/>
      <c r="I14" s="16"/>
    </row>
    <row r="15" customFormat="false" ht="15" hidden="false" customHeight="true" outlineLevel="0" collapsed="false">
      <c r="A15" s="14" t="s">
        <v>74</v>
      </c>
      <c r="B15" s="14"/>
      <c r="C15" s="14"/>
      <c r="D15" s="14"/>
      <c r="E15" s="14"/>
      <c r="F15" s="14"/>
      <c r="G15" s="14"/>
      <c r="H15" s="14"/>
      <c r="I15" s="14"/>
    </row>
    <row r="16" customFormat="false" ht="15" hidden="false" customHeight="true" outlineLevel="0" collapsed="false">
      <c r="A16" s="14" t="s">
        <v>75</v>
      </c>
      <c r="B16" s="14"/>
      <c r="C16" s="14"/>
      <c r="D16" s="14"/>
      <c r="E16" s="14"/>
      <c r="F16" s="14"/>
      <c r="G16" s="14"/>
      <c r="H16" s="14"/>
      <c r="I16" s="14"/>
    </row>
    <row r="17" customFormat="false" ht="15" hidden="false" customHeight="true" outlineLevel="0" collapsed="false">
      <c r="A17" s="14" t="s">
        <v>76</v>
      </c>
      <c r="B17" s="14"/>
      <c r="C17" s="14"/>
      <c r="D17" s="14"/>
      <c r="E17" s="14"/>
      <c r="F17" s="14"/>
      <c r="G17" s="14"/>
      <c r="H17" s="14"/>
      <c r="I17" s="14"/>
    </row>
    <row r="18" customFormat="false" ht="15" hidden="false" customHeight="true" outlineLevel="0" collapsed="false">
      <c r="A18" s="14" t="s">
        <v>77</v>
      </c>
      <c r="B18" s="14"/>
      <c r="C18" s="14"/>
      <c r="D18" s="14"/>
      <c r="E18" s="14"/>
      <c r="F18" s="14"/>
      <c r="G18" s="14"/>
      <c r="H18" s="14"/>
      <c r="I18" s="14"/>
    </row>
    <row r="19" customFormat="false" ht="15" hidden="false" customHeight="true" outlineLevel="0" collapsed="false">
      <c r="A19" s="14" t="s">
        <v>78</v>
      </c>
      <c r="B19" s="14"/>
      <c r="C19" s="14"/>
      <c r="D19" s="14"/>
      <c r="E19" s="14"/>
      <c r="F19" s="14"/>
      <c r="G19" s="14"/>
      <c r="H19" s="14"/>
      <c r="I19" s="14"/>
    </row>
  </sheetData>
  <mergeCells count="7">
    <mergeCell ref="A1:I1"/>
    <mergeCell ref="A14:I14"/>
    <mergeCell ref="A15:I15"/>
    <mergeCell ref="A16:I16"/>
    <mergeCell ref="A17:I17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2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9" t="s">
        <v>79</v>
      </c>
      <c r="B1" s="9"/>
      <c r="C1" s="9"/>
    </row>
    <row r="2" customFormat="false" ht="15" hidden="false" customHeight="false" outlineLevel="0" collapsed="false">
      <c r="A2" s="12" t="s">
        <v>80</v>
      </c>
    </row>
    <row r="3" customFormat="false" ht="15" hidden="false" customHeight="false" outlineLevel="0" collapsed="false">
      <c r="A3" s="17" t="s">
        <v>30</v>
      </c>
      <c r="B3" s="17" t="s">
        <v>81</v>
      </c>
      <c r="C3" s="17" t="s">
        <v>82</v>
      </c>
    </row>
    <row r="4" customFormat="false" ht="15" hidden="false" customHeight="false" outlineLevel="0" collapsed="false">
      <c r="A4" s="2" t="s">
        <v>83</v>
      </c>
      <c r="B4" s="18" t="n">
        <f aca="false">MAX(Calculations!B4:B11)</f>
        <v>100</v>
      </c>
      <c r="C4" s="2" t="str">
        <f aca="false">INDEX(Calculations!A4:A11,MATCH(B4,Calculations!B4:B11,0))&amp;" rpm"</f>
        <v>3500 rpm</v>
      </c>
    </row>
    <row r="5" customFormat="false" ht="15" hidden="false" customHeight="false" outlineLevel="0" collapsed="false">
      <c r="A5" s="2" t="s">
        <v>84</v>
      </c>
      <c r="B5" s="18" t="n">
        <f aca="false">MAX(Calculations!C4:C11)</f>
        <v>46.0766922526503</v>
      </c>
      <c r="C5" s="2" t="str">
        <f aca="false">INDEX(Calculations!A4:A11,MATCH(B5,Calculations!C4:C11,0))&amp;" rpm"</f>
        <v>5000 rpm</v>
      </c>
    </row>
    <row r="6" customFormat="false" ht="15" hidden="false" customHeight="false" outlineLevel="0" collapsed="false">
      <c r="A6" s="2" t="s">
        <v>85</v>
      </c>
      <c r="B6" s="18" t="n">
        <f aca="false">MIN(Calculations!D4:D11)</f>
        <v>265</v>
      </c>
      <c r="C6" s="2" t="str">
        <f aca="false">INDEX(Calculations!A4:A11,MATCH(B6,Calculations!D4:D11,0))&amp;" rpm"</f>
        <v>3000 rpm</v>
      </c>
    </row>
    <row r="7" customFormat="false" ht="15" hidden="false" customHeight="false" outlineLevel="0" collapsed="false">
      <c r="A7" s="2" t="s">
        <v>86</v>
      </c>
      <c r="B7" s="18" t="n">
        <f aca="false">MAX(Calculations!H4:H11)</f>
        <v>30.8747855917667</v>
      </c>
      <c r="C7" s="2" t="str">
        <f aca="false">INDEX(Calculations!A4:A11,MATCH(B7,Calculations!H4:H11,0))&amp;" rpm"</f>
        <v>3000 rpm</v>
      </c>
    </row>
    <row r="8" customFormat="false" ht="15" hidden="false" customHeight="false" outlineLevel="0" collapsed="false">
      <c r="A8" s="2" t="s">
        <v>87</v>
      </c>
      <c r="B8" s="18" t="n">
        <f aca="false">MAX(Calculations!I4:I11)</f>
        <v>62.5886302969636</v>
      </c>
      <c r="C8" s="2" t="str">
        <f aca="false">INDEX(Calculations!A4:A11,MATCH(B8,Calculations!I4:I11,0))&amp;" rpm"</f>
        <v>4000 rpm</v>
      </c>
    </row>
    <row r="11" customFormat="false" ht="15" hidden="false" customHeight="false" outlineLevel="0" collapsed="false">
      <c r="A11" s="19" t="s">
        <v>88</v>
      </c>
    </row>
    <row r="12" customFormat="false" ht="15" hidden="false" customHeight="true" outlineLevel="0" collapsed="false">
      <c r="A12" s="14" t="s">
        <v>89</v>
      </c>
      <c r="B12" s="14"/>
      <c r="C12" s="14"/>
    </row>
    <row r="13" customFormat="false" ht="28.35" hidden="false" customHeight="true" outlineLevel="0" collapsed="false">
      <c r="A13" s="14" t="s">
        <v>90</v>
      </c>
      <c r="B13" s="14"/>
      <c r="C13" s="14"/>
    </row>
    <row r="14" customFormat="false" ht="15" hidden="false" customHeight="true" outlineLevel="0" collapsed="false">
      <c r="A14" s="14" t="s">
        <v>91</v>
      </c>
      <c r="B14" s="14"/>
      <c r="C14" s="14"/>
    </row>
    <row r="15" customFormat="false" ht="28.35" hidden="false" customHeight="true" outlineLevel="0" collapsed="false">
      <c r="A15" s="14" t="s">
        <v>92</v>
      </c>
      <c r="B15" s="14"/>
      <c r="C15" s="14"/>
    </row>
    <row r="16" customFormat="false" ht="15" hidden="false" customHeight="true" outlineLevel="0" collapsed="false">
      <c r="A16" s="14" t="s">
        <v>93</v>
      </c>
      <c r="B16" s="14"/>
      <c r="C16" s="14"/>
    </row>
  </sheetData>
  <mergeCells count="6">
    <mergeCell ref="A1:C1"/>
    <mergeCell ref="A12:C12"/>
    <mergeCell ref="A13:C13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2" min="1" style="0" width="14"/>
  </cols>
  <sheetData>
    <row r="1" customFormat="false" ht="27.75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0" t="s">
        <v>95</v>
      </c>
      <c r="B3" s="20" t="s">
        <v>96</v>
      </c>
      <c r="C3" s="20"/>
      <c r="D3" s="20"/>
    </row>
    <row r="4" customFormat="false" ht="15" hidden="false" customHeight="false" outlineLevel="0" collapsed="false">
      <c r="A4" s="0" t="s">
        <v>14</v>
      </c>
      <c r="B4" s="0" t="n">
        <f aca="false">'Engine Specifications'!B9</f>
        <v>1.8096</v>
      </c>
      <c r="C4" s="0" t="s">
        <v>40</v>
      </c>
    </row>
    <row r="5" customFormat="false" ht="15" hidden="false" customHeight="false" outlineLevel="0" collapsed="false">
      <c r="A5" s="0" t="s">
        <v>97</v>
      </c>
      <c r="B5" s="0" t="str">
        <f aca="false">MIN(Calculations!A4:A11)&amp;"–"&amp;MAX(Calculations!A4:A11)</f>
        <v>1500–5000</v>
      </c>
      <c r="C5" s="0" t="s">
        <v>98</v>
      </c>
    </row>
    <row r="7" customFormat="false" ht="15" hidden="false" customHeight="false" outlineLevel="0" collapsed="false">
      <c r="A7" s="21" t="s">
        <v>99</v>
      </c>
      <c r="B7" s="21"/>
      <c r="C7" s="21"/>
      <c r="D7" s="21" t="s">
        <v>100</v>
      </c>
      <c r="E7" s="21"/>
      <c r="F7" s="21"/>
      <c r="G7" s="21" t="s">
        <v>15</v>
      </c>
      <c r="H7" s="21"/>
      <c r="I7" s="21"/>
      <c r="J7" s="21" t="s">
        <v>17</v>
      </c>
      <c r="K7" s="21"/>
      <c r="L7" s="21"/>
    </row>
    <row r="8" customFormat="false" ht="19.7" hidden="false" customHeight="false" outlineLevel="0" collapsed="false">
      <c r="A8" s="22" t="n">
        <f aca="false">'Performance Results'!B4</f>
        <v>100</v>
      </c>
      <c r="B8" s="22"/>
      <c r="C8" s="22"/>
      <c r="D8" s="22" t="n">
        <f aca="false">'Performance Results'!B5</f>
        <v>46.0766922526503</v>
      </c>
      <c r="E8" s="22"/>
      <c r="F8" s="22"/>
      <c r="G8" s="22" t="n">
        <f aca="false">'Performance Results'!B6</f>
        <v>265</v>
      </c>
      <c r="H8" s="22"/>
      <c r="I8" s="22"/>
      <c r="J8" s="22" t="n">
        <f aca="false">'Performance Results'!B7</f>
        <v>30.8747855917667</v>
      </c>
      <c r="K8" s="22"/>
      <c r="L8" s="22"/>
    </row>
    <row r="9" customFormat="false" ht="15" hidden="false" customHeight="false" outlineLevel="0" collapsed="false">
      <c r="A9" s="23" t="s">
        <v>101</v>
      </c>
      <c r="B9" s="23"/>
      <c r="C9" s="23"/>
      <c r="D9" s="23" t="s">
        <v>102</v>
      </c>
      <c r="E9" s="23"/>
      <c r="F9" s="23"/>
      <c r="G9" s="23" t="s">
        <v>103</v>
      </c>
      <c r="H9" s="23"/>
      <c r="I9" s="23"/>
      <c r="J9" s="23" t="s">
        <v>104</v>
      </c>
      <c r="K9" s="23"/>
      <c r="L9" s="23"/>
    </row>
  </sheetData>
  <mergeCells count="14">
    <mergeCell ref="A1:L1"/>
    <mergeCell ref="B3:D3"/>
    <mergeCell ref="A7:C7"/>
    <mergeCell ref="D7:F7"/>
    <mergeCell ref="G7:I7"/>
    <mergeCell ref="J7:L7"/>
    <mergeCell ref="A8:C8"/>
    <mergeCell ref="D8:F8"/>
    <mergeCell ref="G8:I8"/>
    <mergeCell ref="J8:L8"/>
    <mergeCell ref="A9:C9"/>
    <mergeCell ref="D9:F9"/>
    <mergeCell ref="G9:I9"/>
    <mergeCell ref="J9:L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9.7" hidden="false" customHeight="false" outlineLevel="0" collapsed="false">
      <c r="A1" s="24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4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9" t="s">
        <v>106</v>
      </c>
      <c r="B1" s="9"/>
      <c r="C1" s="9"/>
      <c r="D1" s="9"/>
    </row>
    <row r="3" customFormat="false" ht="15" hidden="false" customHeight="false" outlineLevel="0" collapsed="false">
      <c r="A3" s="10" t="s">
        <v>107</v>
      </c>
      <c r="B3" s="10" t="s">
        <v>108</v>
      </c>
      <c r="C3" s="10" t="s">
        <v>109</v>
      </c>
      <c r="D3" s="10" t="s">
        <v>32</v>
      </c>
    </row>
    <row r="4" customFormat="false" ht="15" hidden="false" customHeight="false" outlineLevel="0" collapsed="false">
      <c r="A4" s="2" t="s">
        <v>110</v>
      </c>
      <c r="B4" s="2" t="n">
        <v>1</v>
      </c>
      <c r="C4" s="2" t="n">
        <v>1</v>
      </c>
      <c r="D4" s="2" t="s">
        <v>98</v>
      </c>
    </row>
    <row r="5" customFormat="false" ht="15" hidden="false" customHeight="false" outlineLevel="0" collapsed="false">
      <c r="A5" s="2" t="s">
        <v>111</v>
      </c>
      <c r="B5" s="2" t="n">
        <v>0.1</v>
      </c>
      <c r="C5" s="2" t="n">
        <v>0.5</v>
      </c>
      <c r="D5" s="2" t="s">
        <v>101</v>
      </c>
    </row>
    <row r="6" customFormat="false" ht="15" hidden="false" customHeight="false" outlineLevel="0" collapsed="false">
      <c r="A6" s="2" t="s">
        <v>112</v>
      </c>
      <c r="B6" s="2" t="n">
        <v>0.01</v>
      </c>
      <c r="C6" s="2" t="n">
        <v>1</v>
      </c>
      <c r="D6" s="2" t="s">
        <v>113</v>
      </c>
    </row>
    <row r="7" customFormat="false" ht="15" hidden="false" customHeight="false" outlineLevel="0" collapsed="false">
      <c r="A7" s="2" t="s">
        <v>114</v>
      </c>
      <c r="B7" s="2" t="n">
        <v>0.1</v>
      </c>
      <c r="C7" s="2" t="n">
        <v>1</v>
      </c>
      <c r="D7" s="2" t="s">
        <v>113</v>
      </c>
    </row>
    <row r="8" customFormat="false" ht="15" hidden="false" customHeight="false" outlineLevel="0" collapsed="false">
      <c r="A8" s="2" t="s">
        <v>44</v>
      </c>
      <c r="B8" s="2" t="n">
        <v>0.1</v>
      </c>
      <c r="C8" s="2" t="n">
        <v>0.5</v>
      </c>
      <c r="D8" s="2" t="s">
        <v>45</v>
      </c>
    </row>
    <row r="9" customFormat="false" ht="15" hidden="false" customHeight="false" outlineLevel="0" collapsed="false">
      <c r="A9" s="2" t="s">
        <v>46</v>
      </c>
      <c r="B9" s="2" t="n">
        <v>0.1</v>
      </c>
      <c r="C9" s="2" t="n">
        <v>0.5</v>
      </c>
      <c r="D9" s="2" t="s">
        <v>47</v>
      </c>
    </row>
    <row r="12" customFormat="false" ht="108.95" hidden="false" customHeight="false" outlineLevel="0" collapsed="false">
      <c r="A12" s="0" t="s">
        <v>63</v>
      </c>
      <c r="B12" s="13" t="s">
        <v>115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52"/>
  </cols>
  <sheetData>
    <row r="1" customFormat="false" ht="27.75" hidden="false" customHeight="true" outlineLevel="0" collapsed="false">
      <c r="A1" s="1" t="s">
        <v>116</v>
      </c>
      <c r="B1" s="1"/>
      <c r="C1" s="1"/>
      <c r="D1" s="1"/>
      <c r="E1" s="1"/>
      <c r="F1" s="1"/>
    </row>
    <row r="3" customFormat="false" ht="28.35" hidden="false" customHeight="false" outlineLevel="0" collapsed="false">
      <c r="A3" s="25" t="s">
        <v>107</v>
      </c>
      <c r="B3" s="25" t="s">
        <v>108</v>
      </c>
      <c r="C3" s="25" t="s">
        <v>109</v>
      </c>
      <c r="D3" s="25" t="s">
        <v>32</v>
      </c>
      <c r="E3" s="25" t="s">
        <v>117</v>
      </c>
    </row>
    <row r="4" customFormat="false" ht="15" hidden="false" customHeight="false" outlineLevel="0" collapsed="false">
      <c r="A4" s="2" t="s">
        <v>110</v>
      </c>
      <c r="B4" s="2" t="n">
        <v>1</v>
      </c>
      <c r="C4" s="2" t="n">
        <v>1</v>
      </c>
      <c r="D4" s="2" t="s">
        <v>98</v>
      </c>
      <c r="E4" s="2" t="s">
        <v>118</v>
      </c>
    </row>
    <row r="5" customFormat="false" ht="15" hidden="false" customHeight="false" outlineLevel="0" collapsed="false">
      <c r="A5" s="2" t="s">
        <v>111</v>
      </c>
      <c r="B5" s="2" t="n">
        <v>0.1</v>
      </c>
      <c r="C5" s="2" t="n">
        <v>0.5</v>
      </c>
      <c r="D5" s="2" t="s">
        <v>101</v>
      </c>
      <c r="E5" s="2" t="s">
        <v>119</v>
      </c>
    </row>
    <row r="6" customFormat="false" ht="15" hidden="false" customHeight="false" outlineLevel="0" collapsed="false">
      <c r="A6" s="2" t="s">
        <v>112</v>
      </c>
      <c r="B6" s="2" t="n">
        <v>0.01</v>
      </c>
      <c r="C6" s="2" t="n">
        <v>1</v>
      </c>
      <c r="D6" s="2" t="s">
        <v>113</v>
      </c>
      <c r="E6" s="2" t="s">
        <v>120</v>
      </c>
    </row>
    <row r="7" customFormat="false" ht="15" hidden="false" customHeight="false" outlineLevel="0" collapsed="false">
      <c r="A7" s="2" t="s">
        <v>114</v>
      </c>
      <c r="B7" s="2" t="n">
        <v>0.1</v>
      </c>
      <c r="C7" s="2" t="n">
        <v>1</v>
      </c>
      <c r="D7" s="2" t="s">
        <v>113</v>
      </c>
      <c r="E7" s="2" t="s">
        <v>121</v>
      </c>
    </row>
    <row r="8" customFormat="false" ht="15" hidden="false" customHeight="false" outlineLevel="0" collapsed="false">
      <c r="A8" s="2" t="s">
        <v>44</v>
      </c>
      <c r="B8" s="2" t="n">
        <v>0.1</v>
      </c>
      <c r="C8" s="2" t="n">
        <v>0.5</v>
      </c>
      <c r="D8" s="2" t="s">
        <v>45</v>
      </c>
      <c r="E8" s="2" t="s">
        <v>122</v>
      </c>
    </row>
    <row r="9" customFormat="false" ht="15" hidden="false" customHeight="false" outlineLevel="0" collapsed="false">
      <c r="A9" s="2" t="s">
        <v>46</v>
      </c>
      <c r="B9" s="2" t="n">
        <v>0.1</v>
      </c>
      <c r="C9" s="2" t="n">
        <v>0.5</v>
      </c>
      <c r="D9" s="2" t="s">
        <v>47</v>
      </c>
      <c r="E9" s="2" t="s">
        <v>122</v>
      </c>
    </row>
    <row r="12" customFormat="false" ht="15" hidden="false" customHeight="true" outlineLevel="0" collapsed="false">
      <c r="A12" s="0" t="s">
        <v>123</v>
      </c>
      <c r="B12" s="26" t="s">
        <v>124</v>
      </c>
      <c r="C12" s="26"/>
      <c r="D12" s="26"/>
      <c r="E12" s="26"/>
    </row>
    <row r="13" customFormat="false" ht="15" hidden="false" customHeight="false" outlineLevel="0" collapsed="false">
      <c r="B13" s="26"/>
      <c r="C13" s="26"/>
      <c r="D13" s="26"/>
      <c r="E13" s="26"/>
    </row>
    <row r="14" customFormat="false" ht="15" hidden="false" customHeight="false" outlineLevel="0" collapsed="false">
      <c r="B14" s="26"/>
      <c r="C14" s="26"/>
      <c r="D14" s="26"/>
      <c r="E14" s="26"/>
    </row>
  </sheetData>
  <mergeCells count="2">
    <mergeCell ref="A1:F1"/>
    <mergeCell ref="B12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</row>
    <row r="3" customFormat="false" ht="16.15" hidden="false" customHeight="false" outlineLevel="0" collapsed="false">
      <c r="A3" s="27" t="s">
        <v>126</v>
      </c>
    </row>
    <row r="4" customFormat="false" ht="15" hidden="false" customHeight="true" outlineLevel="0" collapsed="false">
      <c r="A4" s="14" t="s">
        <v>127</v>
      </c>
      <c r="B4" s="14"/>
      <c r="C4" s="14"/>
      <c r="D4" s="14"/>
      <c r="E4" s="14"/>
      <c r="F4" s="14"/>
      <c r="G4" s="14"/>
    </row>
    <row r="5" customFormat="false" ht="15" hidden="false" customHeight="true" outlineLevel="0" collapsed="false">
      <c r="A5" s="14" t="s">
        <v>128</v>
      </c>
      <c r="B5" s="14"/>
      <c r="C5" s="14"/>
      <c r="D5" s="14"/>
      <c r="E5" s="14"/>
      <c r="F5" s="14"/>
      <c r="G5" s="14"/>
    </row>
    <row r="6" customFormat="false" ht="15" hidden="false" customHeight="true" outlineLevel="0" collapsed="false">
      <c r="A6" s="14" t="s">
        <v>129</v>
      </c>
      <c r="B6" s="14"/>
      <c r="C6" s="14"/>
      <c r="D6" s="14"/>
      <c r="E6" s="14"/>
      <c r="F6" s="14"/>
      <c r="G6" s="14"/>
    </row>
    <row r="7" customFormat="false" ht="15" hidden="false" customHeight="true" outlineLevel="0" collapsed="false">
      <c r="A7" s="14" t="s">
        <v>130</v>
      </c>
      <c r="B7" s="14"/>
      <c r="C7" s="14"/>
      <c r="D7" s="14"/>
      <c r="E7" s="14"/>
      <c r="F7" s="14"/>
      <c r="G7" s="14"/>
    </row>
    <row r="8" customFormat="false" ht="15" hidden="false" customHeight="true" outlineLevel="0" collapsed="false">
      <c r="A8" s="14" t="s">
        <v>131</v>
      </c>
      <c r="B8" s="14"/>
      <c r="C8" s="14"/>
      <c r="D8" s="14"/>
      <c r="E8" s="14"/>
      <c r="F8" s="14"/>
      <c r="G8" s="14"/>
    </row>
    <row r="9" customFormat="false" ht="15" hidden="false" customHeight="true" outlineLevel="0" collapsed="false">
      <c r="A9" s="14" t="s">
        <v>132</v>
      </c>
      <c r="B9" s="14"/>
      <c r="C9" s="14"/>
      <c r="D9" s="14"/>
      <c r="E9" s="14"/>
      <c r="F9" s="14"/>
      <c r="G9" s="14"/>
    </row>
    <row r="12" customFormat="false" ht="16.15" hidden="false" customHeight="false" outlineLevel="0" collapsed="false">
      <c r="A12" s="27" t="s">
        <v>133</v>
      </c>
    </row>
    <row r="13" customFormat="false" ht="15" hidden="false" customHeight="false" outlineLevel="0" collapsed="false">
      <c r="A13" s="2" t="s">
        <v>110</v>
      </c>
      <c r="B13" s="2" t="s">
        <v>134</v>
      </c>
      <c r="C13" s="2"/>
      <c r="D13" s="2"/>
      <c r="E13" s="2"/>
      <c r="F13" s="2"/>
      <c r="G13" s="2"/>
    </row>
    <row r="14" customFormat="false" ht="15" hidden="false" customHeight="false" outlineLevel="0" collapsed="false">
      <c r="A14" s="2" t="s">
        <v>111</v>
      </c>
      <c r="B14" s="2" t="s">
        <v>135</v>
      </c>
      <c r="C14" s="2"/>
      <c r="D14" s="2"/>
      <c r="E14" s="2"/>
      <c r="F14" s="2"/>
      <c r="G14" s="2"/>
    </row>
    <row r="15" customFormat="false" ht="15" hidden="false" customHeight="false" outlineLevel="0" collapsed="false">
      <c r="A15" s="2" t="s">
        <v>136</v>
      </c>
      <c r="B15" s="2" t="s">
        <v>137</v>
      </c>
      <c r="C15" s="2"/>
      <c r="D15" s="2"/>
      <c r="E15" s="2"/>
      <c r="F15" s="2"/>
      <c r="G15" s="2"/>
    </row>
    <row r="16" customFormat="false" ht="15" hidden="false" customHeight="false" outlineLevel="0" collapsed="false">
      <c r="A16" s="2" t="s">
        <v>114</v>
      </c>
      <c r="B16" s="2" t="s">
        <v>138</v>
      </c>
      <c r="C16" s="2"/>
      <c r="D16" s="2"/>
      <c r="E16" s="2"/>
      <c r="F16" s="2"/>
      <c r="G16" s="2"/>
    </row>
    <row r="17" customFormat="false" ht="15" hidden="false" customHeight="false" outlineLevel="0" collapsed="false">
      <c r="A17" s="2" t="s">
        <v>139</v>
      </c>
      <c r="B17" s="2" t="s">
        <v>140</v>
      </c>
      <c r="C17" s="2"/>
      <c r="D17" s="2"/>
      <c r="E17" s="2"/>
      <c r="F17" s="2"/>
      <c r="G17" s="2"/>
    </row>
    <row r="18" customFormat="false" ht="15" hidden="false" customHeight="false" outlineLevel="0" collapsed="false">
      <c r="A18" s="2" t="s">
        <v>141</v>
      </c>
      <c r="B18" s="2" t="s">
        <v>142</v>
      </c>
      <c r="C18" s="2"/>
      <c r="D18" s="2"/>
      <c r="E18" s="2"/>
      <c r="F18" s="2"/>
      <c r="G18" s="2"/>
    </row>
    <row r="21" customFormat="false" ht="15" hidden="false" customHeight="false" outlineLevel="0" collapsed="false">
      <c r="A21" s="28" t="s">
        <v>143</v>
      </c>
    </row>
    <row r="22" customFormat="false" ht="15" hidden="false" customHeight="true" outlineLevel="0" collapsed="false">
      <c r="A22" s="26" t="s">
        <v>144</v>
      </c>
      <c r="B22" s="26"/>
      <c r="C22" s="26"/>
      <c r="D22" s="26"/>
      <c r="E22" s="26"/>
      <c r="F22" s="26"/>
      <c r="G22" s="26"/>
    </row>
    <row r="23" customFormat="false" ht="15" hidden="false" customHeight="false" outlineLevel="0" collapsed="false">
      <c r="A23" s="26"/>
      <c r="B23" s="26"/>
      <c r="C23" s="26"/>
      <c r="D23" s="26"/>
      <c r="E23" s="26"/>
      <c r="F23" s="26"/>
      <c r="G23" s="26"/>
    </row>
    <row r="24" customFormat="false" ht="15" hidden="false" customHeight="false" outlineLevel="0" collapsed="false">
      <c r="A24" s="26"/>
      <c r="B24" s="26"/>
      <c r="C24" s="26"/>
      <c r="D24" s="26"/>
      <c r="E24" s="26"/>
      <c r="F24" s="26"/>
      <c r="G24" s="26"/>
    </row>
  </sheetData>
  <mergeCells count="14">
    <mergeCell ref="A1:G1"/>
    <mergeCell ref="A4:G4"/>
    <mergeCell ref="A5:G5"/>
    <mergeCell ref="A6:G6"/>
    <mergeCell ref="A7:G7"/>
    <mergeCell ref="A8:G8"/>
    <mergeCell ref="A9:G9"/>
    <mergeCell ref="B13:G13"/>
    <mergeCell ref="B14:G14"/>
    <mergeCell ref="B15:G15"/>
    <mergeCell ref="B16:G16"/>
    <mergeCell ref="B17:G17"/>
    <mergeCell ref="B18:G18"/>
    <mergeCell ref="A22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27.75" hidden="false" customHeight="true" outlineLevel="0" collapsed="false">
      <c r="A1" s="1" t="s">
        <v>145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5" t="s">
        <v>146</v>
      </c>
      <c r="B3" s="25" t="s">
        <v>147</v>
      </c>
      <c r="C3" s="25" t="s">
        <v>148</v>
      </c>
      <c r="D3" s="25" t="s">
        <v>149</v>
      </c>
      <c r="E3" s="25" t="s">
        <v>150</v>
      </c>
    </row>
    <row r="4" customFormat="false" ht="15" hidden="false" customHeight="false" outlineLevel="0" collapsed="false">
      <c r="A4" s="29" t="s">
        <v>50</v>
      </c>
      <c r="B4" s="29" t="n">
        <f aca="false">'Engine Specifications'!B20</f>
        <v>0.00180955736846772</v>
      </c>
      <c r="C4" s="29" t="s">
        <v>151</v>
      </c>
      <c r="D4" s="30" t="str">
        <f aca="false">IF(ABS(B4-0.0018096)&lt;0.000001,"PASS","CHECK")</f>
        <v>PASS</v>
      </c>
      <c r="E4" s="29" t="s">
        <v>152</v>
      </c>
    </row>
    <row r="5" customFormat="false" ht="15" hidden="false" customHeight="false" outlineLevel="0" collapsed="false">
      <c r="A5" s="29" t="s">
        <v>11</v>
      </c>
      <c r="B5" s="29" t="n">
        <f aca="false">MAX(Calculations!B4:B11)</f>
        <v>100</v>
      </c>
      <c r="C5" s="29" t="s">
        <v>153</v>
      </c>
      <c r="D5" s="30" t="str">
        <f aca="false">IF(B5&gt;0,"PASS","CHECK")</f>
        <v>PASS</v>
      </c>
      <c r="E5" s="29" t="s">
        <v>154</v>
      </c>
    </row>
    <row r="6" customFormat="false" ht="15" hidden="false" customHeight="false" outlineLevel="0" collapsed="false">
      <c r="A6" s="29" t="s">
        <v>13</v>
      </c>
      <c r="B6" s="29" t="n">
        <f aca="false">MAX(Calculations!C4:C11)</f>
        <v>46.0766922526503</v>
      </c>
      <c r="C6" s="29" t="s">
        <v>155</v>
      </c>
      <c r="D6" s="30" t="str">
        <f aca="false">IF(B6&gt;0,"PASS","CHECK")</f>
        <v>PASS</v>
      </c>
      <c r="E6" s="29" t="s">
        <v>156</v>
      </c>
    </row>
    <row r="7" customFormat="false" ht="15" hidden="false" customHeight="false" outlineLevel="0" collapsed="false">
      <c r="A7" s="29" t="s">
        <v>15</v>
      </c>
      <c r="B7" s="29" t="n">
        <f aca="false">MIN(Calculations!D4:D11)</f>
        <v>265</v>
      </c>
      <c r="C7" s="29" t="s">
        <v>155</v>
      </c>
      <c r="D7" s="30" t="str">
        <f aca="false">IF(B7&gt;0,"PASS","CHECK")</f>
        <v>PASS</v>
      </c>
      <c r="E7" s="29" t="s">
        <v>157</v>
      </c>
    </row>
    <row r="8" customFormat="false" ht="15" hidden="false" customHeight="false" outlineLevel="0" collapsed="false">
      <c r="A8" s="29" t="s">
        <v>158</v>
      </c>
      <c r="B8" s="29" t="n">
        <f aca="false">MAX(Calculations!H4:H11)</f>
        <v>30.8747855917667</v>
      </c>
      <c r="C8" s="29" t="s">
        <v>159</v>
      </c>
      <c r="D8" s="30" t="str">
        <f aca="false">IF(AND(MIN(Calculations!H4:H11)&gt;0,MAX(Calculations!H4:H11)&lt;100),"PASS","CHECK")</f>
        <v>PASS</v>
      </c>
      <c r="E8" s="29" t="s">
        <v>160</v>
      </c>
    </row>
    <row r="9" customFormat="false" ht="15" hidden="false" customHeight="false" outlineLevel="0" collapsed="false">
      <c r="A9" s="29" t="s">
        <v>161</v>
      </c>
      <c r="B9" s="29" t="n">
        <f aca="false">MAX(Calculations!I4:I11)</f>
        <v>62.5886302969636</v>
      </c>
      <c r="C9" s="29" t="s">
        <v>162</v>
      </c>
      <c r="D9" s="30" t="str">
        <f aca="false">IF(AND(MIN(Calculations!I4:I11)&gt;0,MAX(Calculations!I4:I11)&lt;100),"PASS","CHECK")</f>
        <v>PASS</v>
      </c>
      <c r="E9" s="29" t="s">
        <v>163</v>
      </c>
    </row>
    <row r="10" customFormat="false" ht="15" hidden="false" customHeight="false" outlineLevel="0" collapsed="false">
      <c r="A10" s="29" t="s">
        <v>62</v>
      </c>
      <c r="B10" s="29" t="n">
        <f aca="false">AVERAGE(Calculations!F4:F11)</f>
        <v>14.1625</v>
      </c>
      <c r="C10" s="29" t="s">
        <v>155</v>
      </c>
      <c r="D10" s="30" t="str">
        <f aca="false">IF(B9&gt;0,"PASS","CHECK")</f>
        <v>PASS</v>
      </c>
      <c r="E10" s="29" t="s">
        <v>164</v>
      </c>
    </row>
  </sheetData>
  <mergeCells count="1">
    <mergeCell ref="A1:F1"/>
  </mergeCells>
  <conditionalFormatting sqref="D4:D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2026-09-04T05:25:24Z</dcterms:created>
  <dc:creator>OpenAI - prepared for Jeevan</dc:creator>
  <dc:description/>
  <dc:language>en-US</dc:language>
  <cp:lastModifiedBy/>
  <dcterms:modified xsi:type="dcterms:W3CDTF">2026-09-04T05:34:26Z</dcterms:modified>
  <cp:revision>0</cp:revision>
  <dc:subject>Mechanical Engineering SI engine performance analysis</dc:subject>
  <dc:title>Performance Analysis of a SI Engine under Different Operating Conditions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